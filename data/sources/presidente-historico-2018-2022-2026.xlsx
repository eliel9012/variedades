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Daniel\Desktop\"/>
    </mc:Choice>
  </mc:AlternateContent>
  <xr:revisionPtr revIDLastSave="0" documentId="8_{7A3DF5FE-4114-472B-8AF7-7BBDDB9A3F7A}" xr6:coauthVersionLast="47" xr6:coauthVersionMax="47" xr10:uidLastSave="{00000000-0000-0000-0000-000000000000}"/>
  <bookViews>
    <workbookView xWindow="-108" yWindow="-108" windowWidth="23256" windowHeight="12576" tabRatio="500" xr2:uid="{00000000-000D-0000-FFFF-FFFF00000000}"/>
  </bookViews>
  <sheets>
    <sheet name="1st Round by State" sheetId="1" r:id="rId1"/>
    <sheet name="2018" sheetId="4" r:id="rId2"/>
    <sheet name="2022" sheetId="5" r:id="rId3"/>
    <sheet name="Sources" sheetId="3" r:id="rId4"/>
  </sheets>
  <definedNames>
    <definedName name="_xlnm._FilterDatabase" localSheetId="0" hidden="1">'1st Round by State'!$A$1:$R$28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" i="1"/>
  <c r="N30" i="5"/>
  <c r="L30" i="5"/>
  <c r="J30" i="5"/>
  <c r="H30" i="5"/>
  <c r="F30" i="5"/>
  <c r="D30" i="5"/>
  <c r="N29" i="5"/>
  <c r="L29" i="5"/>
  <c r="J29" i="5"/>
  <c r="H29" i="5"/>
  <c r="F29" i="5"/>
  <c r="D29" i="5"/>
  <c r="N28" i="5"/>
  <c r="L28" i="5"/>
  <c r="J28" i="5"/>
  <c r="H28" i="5"/>
  <c r="F28" i="5"/>
  <c r="D28" i="5"/>
  <c r="N27" i="5"/>
  <c r="L27" i="5"/>
  <c r="J27" i="5"/>
  <c r="H27" i="5"/>
  <c r="F27" i="5"/>
  <c r="D27" i="5"/>
  <c r="N26" i="5"/>
  <c r="L26" i="5"/>
  <c r="J26" i="5"/>
  <c r="H26" i="5"/>
  <c r="F26" i="5"/>
  <c r="D26" i="5"/>
  <c r="N25" i="5"/>
  <c r="L25" i="5"/>
  <c r="J25" i="5"/>
  <c r="H25" i="5"/>
  <c r="F25" i="5"/>
  <c r="D25" i="5"/>
  <c r="N24" i="5"/>
  <c r="L24" i="5"/>
  <c r="J24" i="5"/>
  <c r="H24" i="5"/>
  <c r="F24" i="5"/>
  <c r="D24" i="5"/>
  <c r="N23" i="5"/>
  <c r="L23" i="5"/>
  <c r="J23" i="5"/>
  <c r="H23" i="5"/>
  <c r="F23" i="5"/>
  <c r="D23" i="5"/>
  <c r="N22" i="5"/>
  <c r="L22" i="5"/>
  <c r="J22" i="5"/>
  <c r="H22" i="5"/>
  <c r="F22" i="5"/>
  <c r="D22" i="5"/>
  <c r="N21" i="5"/>
  <c r="L21" i="5"/>
  <c r="J21" i="5"/>
  <c r="H21" i="5"/>
  <c r="F21" i="5"/>
  <c r="D21" i="5"/>
  <c r="N20" i="5"/>
  <c r="L20" i="5"/>
  <c r="J20" i="5"/>
  <c r="H20" i="5"/>
  <c r="F20" i="5"/>
  <c r="D20" i="5"/>
  <c r="N19" i="5"/>
  <c r="L19" i="5"/>
  <c r="J19" i="5"/>
  <c r="H19" i="5"/>
  <c r="F19" i="5"/>
  <c r="D19" i="5"/>
  <c r="N18" i="5"/>
  <c r="L18" i="5"/>
  <c r="J18" i="5"/>
  <c r="H18" i="5"/>
  <c r="F18" i="5"/>
  <c r="D18" i="5"/>
  <c r="N17" i="5"/>
  <c r="L17" i="5"/>
  <c r="J17" i="5"/>
  <c r="H17" i="5"/>
  <c r="F17" i="5"/>
  <c r="D17" i="5"/>
  <c r="N16" i="5"/>
  <c r="L16" i="5"/>
  <c r="J16" i="5"/>
  <c r="H16" i="5"/>
  <c r="F16" i="5"/>
  <c r="D16" i="5"/>
  <c r="N15" i="5"/>
  <c r="L15" i="5"/>
  <c r="J15" i="5"/>
  <c r="H15" i="5"/>
  <c r="F15" i="5"/>
  <c r="D15" i="5"/>
  <c r="N14" i="5"/>
  <c r="L14" i="5"/>
  <c r="J14" i="5"/>
  <c r="H14" i="5"/>
  <c r="F14" i="5"/>
  <c r="D14" i="5"/>
  <c r="N13" i="5"/>
  <c r="L13" i="5"/>
  <c r="J13" i="5"/>
  <c r="H13" i="5"/>
  <c r="F13" i="5"/>
  <c r="D13" i="5"/>
  <c r="N12" i="5"/>
  <c r="L12" i="5"/>
  <c r="J12" i="5"/>
  <c r="H12" i="5"/>
  <c r="F12" i="5"/>
  <c r="D12" i="5"/>
  <c r="N11" i="5"/>
  <c r="L11" i="5"/>
  <c r="J11" i="5"/>
  <c r="H11" i="5"/>
  <c r="F11" i="5"/>
  <c r="D11" i="5"/>
  <c r="N10" i="5"/>
  <c r="L10" i="5"/>
  <c r="J10" i="5"/>
  <c r="H10" i="5"/>
  <c r="F10" i="5"/>
  <c r="D10" i="5"/>
  <c r="N9" i="5"/>
  <c r="L9" i="5"/>
  <c r="J9" i="5"/>
  <c r="H9" i="5"/>
  <c r="F9" i="5"/>
  <c r="D9" i="5"/>
  <c r="N8" i="5"/>
  <c r="L8" i="5"/>
  <c r="J8" i="5"/>
  <c r="H8" i="5"/>
  <c r="F8" i="5"/>
  <c r="D8" i="5"/>
  <c r="N7" i="5"/>
  <c r="L7" i="5"/>
  <c r="J7" i="5"/>
  <c r="H7" i="5"/>
  <c r="F7" i="5"/>
  <c r="D7" i="5"/>
  <c r="N6" i="5"/>
  <c r="L6" i="5"/>
  <c r="J6" i="5"/>
  <c r="H6" i="5"/>
  <c r="F6" i="5"/>
  <c r="D6" i="5"/>
  <c r="N5" i="5"/>
  <c r="L5" i="5"/>
  <c r="J5" i="5"/>
  <c r="H5" i="5"/>
  <c r="F5" i="5"/>
  <c r="D5" i="5"/>
  <c r="N4" i="5"/>
  <c r="L4" i="5"/>
  <c r="J4" i="5"/>
  <c r="H4" i="5"/>
  <c r="F4" i="5"/>
  <c r="D4" i="5"/>
  <c r="N3" i="5"/>
  <c r="L3" i="5"/>
  <c r="J3" i="5"/>
  <c r="H3" i="5"/>
  <c r="F3" i="5"/>
  <c r="D3" i="5"/>
  <c r="N2" i="5"/>
  <c r="L2" i="5"/>
  <c r="J2" i="5"/>
  <c r="H2" i="5"/>
  <c r="F2" i="5"/>
  <c r="D2" i="5"/>
  <c r="N30" i="4"/>
  <c r="L30" i="4"/>
  <c r="J30" i="4"/>
  <c r="H30" i="4"/>
  <c r="F30" i="4"/>
  <c r="D30" i="4"/>
  <c r="N29" i="4"/>
  <c r="L29" i="4"/>
  <c r="J29" i="4"/>
  <c r="H29" i="4"/>
  <c r="F29" i="4"/>
  <c r="D29" i="4"/>
  <c r="N28" i="4"/>
  <c r="L28" i="4"/>
  <c r="J28" i="4"/>
  <c r="H28" i="4"/>
  <c r="F28" i="4"/>
  <c r="D28" i="4"/>
  <c r="N27" i="4"/>
  <c r="L27" i="4"/>
  <c r="J27" i="4"/>
  <c r="H27" i="4"/>
  <c r="F27" i="4"/>
  <c r="D27" i="4"/>
  <c r="N26" i="4"/>
  <c r="L26" i="4"/>
  <c r="J26" i="4"/>
  <c r="H26" i="4"/>
  <c r="F26" i="4"/>
  <c r="D26" i="4"/>
  <c r="N25" i="4"/>
  <c r="L25" i="4"/>
  <c r="J25" i="4"/>
  <c r="H25" i="4"/>
  <c r="F25" i="4"/>
  <c r="D25" i="4"/>
  <c r="N24" i="4"/>
  <c r="L24" i="4"/>
  <c r="J24" i="4"/>
  <c r="H24" i="4"/>
  <c r="F24" i="4"/>
  <c r="D24" i="4"/>
  <c r="N23" i="4"/>
  <c r="L23" i="4"/>
  <c r="J23" i="4"/>
  <c r="H23" i="4"/>
  <c r="F23" i="4"/>
  <c r="D23" i="4"/>
  <c r="N22" i="4"/>
  <c r="L22" i="4"/>
  <c r="J22" i="4"/>
  <c r="H22" i="4"/>
  <c r="F22" i="4"/>
  <c r="D22" i="4"/>
  <c r="N21" i="4"/>
  <c r="L21" i="4"/>
  <c r="J21" i="4"/>
  <c r="H21" i="4"/>
  <c r="F21" i="4"/>
  <c r="D21" i="4"/>
  <c r="N20" i="4"/>
  <c r="L20" i="4"/>
  <c r="J20" i="4"/>
  <c r="H20" i="4"/>
  <c r="F20" i="4"/>
  <c r="D20" i="4"/>
  <c r="N19" i="4"/>
  <c r="L19" i="4"/>
  <c r="J19" i="4"/>
  <c r="H19" i="4"/>
  <c r="F19" i="4"/>
  <c r="D19" i="4"/>
  <c r="N18" i="4"/>
  <c r="L18" i="4"/>
  <c r="J18" i="4"/>
  <c r="H18" i="4"/>
  <c r="F18" i="4"/>
  <c r="D18" i="4"/>
  <c r="N17" i="4"/>
  <c r="L17" i="4"/>
  <c r="J17" i="4"/>
  <c r="H17" i="4"/>
  <c r="F17" i="4"/>
  <c r="D17" i="4"/>
  <c r="N16" i="4"/>
  <c r="L16" i="4"/>
  <c r="J16" i="4"/>
  <c r="H16" i="4"/>
  <c r="F16" i="4"/>
  <c r="D16" i="4"/>
  <c r="N15" i="4"/>
  <c r="L15" i="4"/>
  <c r="J15" i="4"/>
  <c r="H15" i="4"/>
  <c r="F15" i="4"/>
  <c r="D15" i="4"/>
  <c r="N14" i="4"/>
  <c r="L14" i="4"/>
  <c r="J14" i="4"/>
  <c r="H14" i="4"/>
  <c r="F14" i="4"/>
  <c r="D14" i="4"/>
  <c r="N13" i="4"/>
  <c r="L13" i="4"/>
  <c r="J13" i="4"/>
  <c r="H13" i="4"/>
  <c r="F13" i="4"/>
  <c r="D13" i="4"/>
  <c r="N12" i="4"/>
  <c r="L12" i="4"/>
  <c r="J12" i="4"/>
  <c r="H12" i="4"/>
  <c r="F12" i="4"/>
  <c r="D12" i="4"/>
  <c r="N11" i="4"/>
  <c r="L11" i="4"/>
  <c r="J11" i="4"/>
  <c r="H11" i="4"/>
  <c r="F11" i="4"/>
  <c r="D11" i="4"/>
  <c r="N10" i="4"/>
  <c r="L10" i="4"/>
  <c r="J10" i="4"/>
  <c r="H10" i="4"/>
  <c r="F10" i="4"/>
  <c r="D10" i="4"/>
  <c r="N9" i="4"/>
  <c r="L9" i="4"/>
  <c r="J9" i="4"/>
  <c r="H9" i="4"/>
  <c r="F9" i="4"/>
  <c r="D9" i="4"/>
  <c r="N8" i="4"/>
  <c r="L8" i="4"/>
  <c r="J8" i="4"/>
  <c r="H8" i="4"/>
  <c r="F8" i="4"/>
  <c r="D8" i="4"/>
  <c r="N7" i="4"/>
  <c r="L7" i="4"/>
  <c r="J7" i="4"/>
  <c r="H7" i="4"/>
  <c r="F7" i="4"/>
  <c r="D7" i="4"/>
  <c r="N6" i="4"/>
  <c r="L6" i="4"/>
  <c r="J6" i="4"/>
  <c r="H6" i="4"/>
  <c r="F6" i="4"/>
  <c r="D6" i="4"/>
  <c r="N5" i="4"/>
  <c r="L5" i="4"/>
  <c r="J5" i="4"/>
  <c r="H5" i="4"/>
  <c r="F5" i="4"/>
  <c r="D5" i="4"/>
  <c r="N4" i="4"/>
  <c r="L4" i="4"/>
  <c r="J4" i="4"/>
  <c r="H4" i="4"/>
  <c r="F4" i="4"/>
  <c r="D4" i="4"/>
  <c r="N3" i="4"/>
  <c r="L3" i="4"/>
  <c r="J3" i="4"/>
  <c r="H3" i="4"/>
  <c r="F3" i="4"/>
  <c r="D3" i="4"/>
  <c r="N2" i="4"/>
  <c r="L2" i="4"/>
  <c r="J2" i="4"/>
  <c r="H2" i="4"/>
  <c r="F2" i="4"/>
  <c r="D2" i="4"/>
</calcChain>
</file>

<file path=xl/sharedStrings.xml><?xml version="1.0" encoding="utf-8"?>
<sst xmlns="http://schemas.openxmlformats.org/spreadsheetml/2006/main" count="163" uniqueCount="83">
  <si>
    <t>State</t>
  </si>
  <si>
    <t>Acre</t>
  </si>
  <si>
    <t>https://www.cartacapital.com.br/politica/como-esta-a-disputa-pela-presidencia-na-bahia-goias-e-outros-4-estados-segundo-a-quaest/</t>
  </si>
  <si>
    <t>Alagoas</t>
  </si>
  <si>
    <t>https://www.brasildefato.com.br/2026/08/26/onde-lula-e-flavio-bolsonaro-lideram-disputa-para-presidente-veja-os-numeros-da-quaest-em-17-estados-e-no-df/</t>
  </si>
  <si>
    <t>Amapá</t>
  </si>
  <si>
    <t>Amazonas</t>
  </si>
  <si>
    <t>Bahia</t>
  </si>
  <si>
    <t>Ceará</t>
  </si>
  <si>
    <t>https://diariodonordeste.verdesmares.com.br/pontopoder/pesquisa-quaest-para-presidente-no-ceara-lula-tem-55-flavio-bolsonaro-tem-23-1.3793471 ; https://www.resenhapolitika.com.br/2026/09/23/pesquisa-quaest-para-presidente-no-ceara-lula-tem-55-flavio-bolsonaro-tem-23/</t>
  </si>
  <si>
    <t>Distrito Federal</t>
  </si>
  <si>
    <t>Espírito Santo</t>
  </si>
  <si>
    <t>Goiás</t>
  </si>
  <si>
    <t>Maranhão</t>
  </si>
  <si>
    <t>Mato Grosso</t>
  </si>
  <si>
    <t>Mato Grosso do Sul</t>
  </si>
  <si>
    <t>Minas Gerais</t>
  </si>
  <si>
    <t>Pará</t>
  </si>
  <si>
    <t>https://www.cartacapital.com.br/politica/quaest-lula-vai-a-40-no-para-contra-35-de-flavio-bolsonaro/ ; https://sempauta.com.br/noticia/49986/quaest-no-para-lula-40-flavio-bolsonaro-35-augusto-cury-7-renan-santos-2-ronaldo-caiado-2.html</t>
  </si>
  <si>
    <t>Paraíba</t>
  </si>
  <si>
    <t>Paraná</t>
  </si>
  <si>
    <t>Pernambuco</t>
  </si>
  <si>
    <t>https://www.diariodepernambuco.com.br/politica/2026/09/11725294-quaest-em-pernambuco-lula-tem-58-contra-20-de-flavio-bolsonaro-no-1-turno.html</t>
  </si>
  <si>
    <t>Piauí</t>
  </si>
  <si>
    <t>https://www.poder360.com.br/poder-eleicoes-2026/lula-tem-70-e-flavio-26-no-2o-turno-no-pi-diz-atlasintel/ ; https://www.brasil247.com/nordeste/atlas-lula-tem-685-e-flavio-bolsonaro-246-no-piaui/</t>
  </si>
  <si>
    <t>Rio de Janeiro</t>
  </si>
  <si>
    <t>Rio Grande do Norte</t>
  </si>
  <si>
    <t>Rio Grande do Sul</t>
  </si>
  <si>
    <t>Rondônia</t>
  </si>
  <si>
    <t>Roraima</t>
  </si>
  <si>
    <t>Santa Catarina</t>
  </si>
  <si>
    <t>São Paulo</t>
  </si>
  <si>
    <t>https://revistaforum.com.br/politica/nova-quaest-em-sp-lula-flavio/</t>
  </si>
  <si>
    <t>Sergipe</t>
  </si>
  <si>
    <t>Tocantins</t>
  </si>
  <si>
    <t>Source</t>
  </si>
  <si>
    <t>https://www.band.com.br/politica/eleicoes/lula-x-flavio-veja-como-estao-intencoes-de-voto-para-presidente-por-estado</t>
  </si>
  <si>
    <t>#</t>
  </si>
  <si>
    <t>What it provides</t>
  </si>
  <si>
    <t>URL</t>
  </si>
  <si>
    <t>Brasil de Fato – Quaest in 17 states + DF (26 Aug 2026)</t>
  </si>
  <si>
    <t>Full candidate lists, Aug 24–25 release: AL, AP, AM, DF, MA, MT, MS, MG, PB, PR, RJ, RN, RS, RO, SC, TO</t>
  </si>
  <si>
    <t>CartaCapital – Quaest in BA, SE, GO, ES, AC, RR (27 Aug 2026)</t>
  </si>
  <si>
    <t>Full candidate lists, fieldwork 23–26 Aug (Scenario 1, without Marçal)</t>
  </si>
  <si>
    <t>Revista Fórum – Quaest São Paulo (29 Sep 2026)</t>
  </si>
  <si>
    <t>Full list, fieldwork 25–28 Sep</t>
  </si>
  <si>
    <t>Diário de Pernambuco – Quaest Pernambuco (29 Sep 2026)</t>
  </si>
  <si>
    <t>CartaCapital / Sem Pauta – Quaest Pará (26 Sep 2026)</t>
  </si>
  <si>
    <t>Full list, fieldwork 22–25 Sep</t>
  </si>
  <si>
    <t>Diário do Nordeste / Resenha Politika – Quaest Ceará (23 Sep 2026)</t>
  </si>
  <si>
    <t>Full list, fieldwork 19–22 Sep</t>
  </si>
  <si>
    <t>Poder360 / Brasil 247 – AtlasIntel Piauí (29 Sep 2026)</t>
  </si>
  <si>
    <t>Full list, fieldwork 23–28 Sep (different pollster – Quaest did not poll PI)</t>
  </si>
  <si>
    <t>Band – compilation of latest Quaest state round (1 Oct 2026)</t>
  </si>
  <si>
    <t>Late-Sep Lula and Flávio figures for 24 units (not PI, SE, TO)</t>
  </si>
  <si>
    <t>Brasil de Fato – Quaest Pernambuco etc. / O Tempo / Metrópoles</t>
  </si>
  <si>
    <t>Cross-checks of Quaest figures</t>
  </si>
  <si>
    <t>https://www.metropoles.com/brasil/quaest-lula-atinge-40-flavio-marca-35-e-cury-tem-7-no-para</t>
  </si>
  <si>
    <t>Primary reference: Quaest, commissioned by TV Globo and its affiliates (same pollster and series for 26 of 27 units). Piauí is the only exception.</t>
  </si>
  <si>
    <t>Outros</t>
  </si>
  <si>
    <t>Flávio Bolsonaro (PL) 2026</t>
  </si>
  <si>
    <t>Outros 2026</t>
  </si>
  <si>
    <t>Undecided 2026</t>
  </si>
  <si>
    <t>Blank / null / won't vote 2026</t>
  </si>
  <si>
    <t>Haddad</t>
  </si>
  <si>
    <t>Estado</t>
  </si>
  <si>
    <t>Eleitorado</t>
  </si>
  <si>
    <t>Abstenção</t>
  </si>
  <si>
    <t>%</t>
  </si>
  <si>
    <t>Bolsonaro</t>
  </si>
  <si>
    <t>Votos brancos</t>
  </si>
  <si>
    <t>Votos nulos</t>
  </si>
  <si>
    <t>Exterior</t>
  </si>
  <si>
    <t>Total</t>
  </si>
  <si>
    <t>Lula</t>
  </si>
  <si>
    <t>Haddad 2018</t>
  </si>
  <si>
    <t>Lula 2022</t>
  </si>
  <si>
    <t>% de crescimento</t>
  </si>
  <si>
    <t>Intencao de votos Lula (PT) 2026</t>
  </si>
  <si>
    <t>Bolsonaro 2018</t>
  </si>
  <si>
    <t>Bolsonaro 2022</t>
  </si>
  <si>
    <t>Outros 2018</t>
  </si>
  <si>
    <t>Outros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</si>
</sst>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4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1"/>
      <color theme="0"/>
      <name val="Aptos Narrow"/>
      <family val="2"/>
      <charset val="1"/>
    </font>
    <font>
      <b/>
      <sz val="8"/>
      <color theme="0"/>
      <name val="Arial"/>
      <family val="2"/>
      <charset val="1"/>
    </font>
    <font>
      <b/>
      <sz val="10"/>
      <color theme="0"/>
      <name val="Arial"/>
      <family val="2"/>
      <charset val="1"/>
    </font>
    <font>
      <sz val="10"/>
      <color rgb="FF202122"/>
      <name val="Arial"/>
      <family val="2"/>
      <charset val="1"/>
    </font>
    <font>
      <sz val="8"/>
      <color rgb="FF202122"/>
      <name val="Arial"/>
      <family val="2"/>
      <charset val="1"/>
    </font>
    <font>
      <b/>
      <sz val="10"/>
      <color rgb="FF202122"/>
      <name val="Arial"/>
      <family val="2"/>
      <charset val="1"/>
    </font>
    <font>
      <b/>
      <sz val="8"/>
      <color rgb="FF202122"/>
      <name val="Arial"/>
      <family val="2"/>
      <charset val="1"/>
    </font>
    <font>
      <b/>
      <sz val="11"/>
      <color theme="0"/>
      <name val="Aptos Narrow"/>
      <family val="2"/>
      <charset val="1"/>
    </font>
    <font>
      <b/>
      <sz val="11"/>
      <color theme="0"/>
      <name val="Aptos Narrow"/>
      <family val="2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002060"/>
        <bgColor indexed="64"/>
      </patternFill>
    </fill>
    <fill>
      <patternFill patternType="solid">
        <fgColor rgb="FF002060"/>
        <bgColor rgb="FFFFFFCC"/>
      </patternFill>
    </fill>
    <fill>
      <patternFill patternType="solid">
        <fgColor rgb="FFEAECF0"/>
        <bgColor rgb="FFFFFFCC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333333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rgb="FF333333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Border="0" applyAlignment="0" applyProtection="0"/>
  </cellStyleXfs>
  <cellXfs count="29">
    <xf numFmtId="0" fontId="0" fillId="0" borderId="0" xfId="0"/>
    <xf numFmtId="0" fontId="2" fillId="2" borderId="1" xfId="0" applyFont="1" applyFill="1" applyBorder="1"/>
    <xf numFmtId="0" fontId="3" fillId="0" borderId="1" xfId="0" applyFont="1" applyBorder="1" applyAlignment="1">
      <alignment vertical="top" wrapText="1"/>
    </xf>
    <xf numFmtId="0" fontId="4" fillId="0" borderId="0" xfId="0" applyFont="1"/>
    <xf numFmtId="0" fontId="5" fillId="3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 vertical="center" wrapText="1"/>
    </xf>
    <xf numFmtId="0" fontId="0" fillId="3" borderId="0" xfId="0" applyFill="1"/>
    <xf numFmtId="0" fontId="0" fillId="0" borderId="2" xfId="0" applyBorder="1"/>
    <xf numFmtId="3" fontId="8" fillId="0" borderId="2" xfId="0" applyNumberFormat="1" applyFont="1" applyBorder="1" applyAlignment="1">
      <alignment horizontal="center" vertical="center" wrapText="1"/>
    </xf>
    <xf numFmtId="10" fontId="9" fillId="0" borderId="2" xfId="0" applyNumberFormat="1" applyFont="1" applyBorder="1" applyAlignment="1">
      <alignment horizontal="center" vertical="center" wrapText="1"/>
    </xf>
    <xf numFmtId="3" fontId="10" fillId="0" borderId="2" xfId="0" applyNumberFormat="1" applyFont="1" applyBorder="1" applyAlignment="1">
      <alignment horizontal="center" vertical="center" wrapText="1"/>
    </xf>
    <xf numFmtId="10" fontId="11" fillId="0" borderId="2" xfId="0" applyNumberFormat="1" applyFont="1" applyBorder="1" applyAlignment="1">
      <alignment horizontal="center" vertical="center" wrapText="1"/>
    </xf>
    <xf numFmtId="0" fontId="8" fillId="0" borderId="2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2" fillId="3" borderId="2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left" vertical="center" wrapText="1"/>
    </xf>
    <xf numFmtId="0" fontId="10" fillId="5" borderId="2" xfId="0" applyFont="1" applyFill="1" applyBorder="1" applyAlignment="1">
      <alignment horizontal="center" vertical="center" wrapText="1"/>
    </xf>
    <xf numFmtId="3" fontId="10" fillId="5" borderId="2" xfId="0" applyNumberFormat="1" applyFont="1" applyFill="1" applyBorder="1" applyAlignment="1">
      <alignment horizontal="center" vertical="center" wrapText="1"/>
    </xf>
    <xf numFmtId="10" fontId="11" fillId="5" borderId="2" xfId="0" applyNumberFormat="1" applyFont="1" applyFill="1" applyBorder="1" applyAlignment="1">
      <alignment horizontal="center" vertical="center" wrapText="1"/>
    </xf>
    <xf numFmtId="0" fontId="13" fillId="8" borderId="2" xfId="0" applyFont="1" applyFill="1" applyBorder="1" applyAlignment="1">
      <alignment horizontal="center" vertical="center"/>
    </xf>
    <xf numFmtId="0" fontId="13" fillId="6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1" fillId="0" borderId="2" xfId="0" applyFont="1" applyBorder="1"/>
    <xf numFmtId="164" fontId="3" fillId="0" borderId="2" xfId="0" applyNumberFormat="1" applyFont="1" applyBorder="1" applyAlignment="1">
      <alignment horizontal="center"/>
    </xf>
    <xf numFmtId="9" fontId="1" fillId="0" borderId="2" xfId="1" applyBorder="1" applyAlignment="1">
      <alignment horizontal="center"/>
    </xf>
  </cellXfs>
  <cellStyles count="2">
    <cellStyle name="Normal" xfId="0" builtinId="0"/>
    <cellStyle name="Porcentagem" xfId="1" builtinId="5"/>
  </cellStyles>
  <dxfs count="15">
    <dxf>
      <font>
        <color rgb="FF00B050"/>
      </font>
      <fill>
        <patternFill>
          <bgColor theme="0"/>
        </patternFill>
      </fill>
    </dxf>
    <dxf>
      <font>
        <color rgb="FFFF0000"/>
      </font>
      <fill>
        <patternFill>
          <bgColor theme="0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0000"/>
      </font>
      <fill>
        <patternFill>
          <bgColor theme="0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0000"/>
      </font>
      <fill>
        <patternFill>
          <bgColor theme="0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0000"/>
      </font>
      <fill>
        <patternFill>
          <bgColor theme="0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0000"/>
      </font>
      <fill>
        <patternFill>
          <bgColor theme="0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0000"/>
      </font>
      <fill>
        <patternFill>
          <bgColor theme="0"/>
        </patternFill>
      </fill>
    </dxf>
    <dxf>
      <font>
        <color rgb="FF00B050"/>
      </font>
      <fill>
        <patternFill>
          <bgColor theme="0"/>
        </patternFill>
      </fill>
    </dxf>
    <dxf>
      <font>
        <b/>
      </font>
      <fill>
        <patternFill>
          <bgColor rgb="FFC6EFCE"/>
        </patternFill>
      </fill>
    </dxf>
    <dxf>
      <font>
        <b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s://pt.wikipedia.org/wiki/Jair_Bolsonaro" TargetMode="External"/><Relationship Id="rId1" Type="http://schemas.openxmlformats.org/officeDocument/2006/relationships/hyperlink" Target="https://pt.wikipedia.org/wiki/Luiz_In&#225;cio_Lula_da_Silv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8"/>
  <sheetViews>
    <sheetView showGridLines="0" tabSelected="1" zoomScaleNormal="100" workbookViewId="0">
      <pane xSplit="1" ySplit="1" topLeftCell="B2" activePane="bottomRight" state="frozen"/>
      <selection pane="topRight" activeCell="C1" sqref="C1"/>
      <selection pane="bottomLeft" activeCell="A2" sqref="A2"/>
      <selection pane="bottomRight" activeCell="G3" sqref="G3"/>
    </sheetView>
  </sheetViews>
  <sheetFormatPr defaultColWidth="8.6640625" defaultRowHeight="14.4" x14ac:dyDescent="0.3"/>
  <cols>
    <col min="1" max="1" width="20" customWidth="1"/>
    <col min="2" max="2" width="16.44140625" bestFit="1" customWidth="1"/>
    <col min="3" max="3" width="13.6640625" bestFit="1" customWidth="1"/>
    <col min="4" max="4" width="16.109375" bestFit="1" customWidth="1"/>
    <col min="5" max="5" width="16.88671875" customWidth="1"/>
    <col min="6" max="6" width="16.109375" bestFit="1" customWidth="1"/>
    <col min="7" max="8" width="18.109375" bestFit="1" customWidth="1"/>
    <col min="9" max="9" width="16.109375" bestFit="1" customWidth="1"/>
    <col min="10" max="10" width="14.44140625" bestFit="1" customWidth="1"/>
    <col min="11" max="11" width="16.109375" bestFit="1" customWidth="1"/>
    <col min="12" max="17" width="13" customWidth="1"/>
    <col min="18" max="18" width="15.6640625" customWidth="1"/>
  </cols>
  <sheetData>
    <row r="1" spans="1:18" ht="48" customHeight="1" x14ac:dyDescent="0.3">
      <c r="A1" s="23" t="s">
        <v>0</v>
      </c>
      <c r="B1" s="22" t="s">
        <v>75</v>
      </c>
      <c r="C1" s="24" t="s">
        <v>76</v>
      </c>
      <c r="D1" s="24" t="s">
        <v>77</v>
      </c>
      <c r="E1" s="24" t="s">
        <v>78</v>
      </c>
      <c r="F1" s="24" t="s">
        <v>77</v>
      </c>
      <c r="G1" s="21" t="s">
        <v>79</v>
      </c>
      <c r="H1" s="21" t="s">
        <v>80</v>
      </c>
      <c r="I1" s="25" t="s">
        <v>77</v>
      </c>
      <c r="J1" s="25" t="s">
        <v>60</v>
      </c>
      <c r="K1" s="25" t="s">
        <v>77</v>
      </c>
      <c r="L1" s="6" t="s">
        <v>81</v>
      </c>
      <c r="M1" s="23" t="s">
        <v>82</v>
      </c>
      <c r="N1" s="23" t="s">
        <v>77</v>
      </c>
      <c r="O1" s="23" t="s">
        <v>61</v>
      </c>
      <c r="P1" s="23" t="s">
        <v>77</v>
      </c>
      <c r="Q1" s="23" t="s">
        <v>62</v>
      </c>
      <c r="R1" s="23" t="s">
        <v>63</v>
      </c>
    </row>
    <row r="2" spans="1:18" x14ac:dyDescent="0.3">
      <c r="A2" s="26" t="s">
        <v>1</v>
      </c>
      <c r="B2" s="27">
        <v>0.18533446505033455</v>
      </c>
      <c r="C2" s="27">
        <v>0.29262196739976004</v>
      </c>
      <c r="D2" s="27">
        <f>(C2-B2)/B2</f>
        <v>0.57888586626501193</v>
      </c>
      <c r="E2" s="27">
        <v>0.25</v>
      </c>
      <c r="F2" s="27">
        <f>(E2-C2)/D2</f>
        <v>-7.3627583403889585E-2</v>
      </c>
      <c r="G2" s="28">
        <v>0.62238428746876295</v>
      </c>
      <c r="H2" s="27">
        <v>0.6250201285049114</v>
      </c>
      <c r="I2" s="27">
        <f>(H2-G2)/G2</f>
        <v>4.2350700189884476E-3</v>
      </c>
      <c r="J2" s="27">
        <v>0.42</v>
      </c>
      <c r="K2" s="27">
        <f>(J2-H2)/H2</f>
        <v>-0.32802164147150403</v>
      </c>
      <c r="L2" s="27">
        <v>0.19228124748090228</v>
      </c>
      <c r="M2" s="27">
        <v>8.2357904095328602E-2</v>
      </c>
      <c r="N2" s="27">
        <f>(M2-L2)/L2</f>
        <v>-0.57167999909347089</v>
      </c>
      <c r="O2" s="27">
        <v>0.12000000000000001</v>
      </c>
      <c r="P2" s="27">
        <f>(O2-M2)/M2</f>
        <v>0.45705504915594974</v>
      </c>
      <c r="Q2" s="27">
        <v>0.14000000000000001</v>
      </c>
      <c r="R2" s="27">
        <v>7.0000000000000007E-2</v>
      </c>
    </row>
    <row r="3" spans="1:18" x14ac:dyDescent="0.3">
      <c r="A3" s="26" t="s">
        <v>3</v>
      </c>
      <c r="B3" s="27">
        <v>0.44750043301431358</v>
      </c>
      <c r="C3" s="27">
        <v>0.56498456980762857</v>
      </c>
      <c r="D3" s="27">
        <f t="shared" ref="D3:D28" si="0">(C3-B3)/B3</f>
        <v>0.26253412985984126</v>
      </c>
      <c r="E3" s="27">
        <v>0.44</v>
      </c>
      <c r="F3" s="27">
        <f t="shared" ref="F3:F28" si="1">(E3-C3)/D3</f>
        <v>-0.47606979661788701</v>
      </c>
      <c r="G3" s="28">
        <v>0.34403801149408819</v>
      </c>
      <c r="H3" s="27">
        <v>0.36046216920492025</v>
      </c>
      <c r="I3" s="27">
        <f t="shared" ref="I3:I28" si="2">(H3-G3)/G3</f>
        <v>4.7739369378125479E-2</v>
      </c>
      <c r="J3" s="27">
        <v>0.28999999999999998</v>
      </c>
      <c r="K3" s="27">
        <f t="shared" ref="K3:K28" si="3">(J3-H3)/H3</f>
        <v>-0.19547729338793113</v>
      </c>
      <c r="L3" s="27">
        <v>0.20846155549159823</v>
      </c>
      <c r="M3" s="27">
        <v>7.4553260987451117E-2</v>
      </c>
      <c r="N3" s="27">
        <f t="shared" ref="N3:N28" si="4">(M3-L3)/L3</f>
        <v>-0.64236445990418645</v>
      </c>
      <c r="O3" s="27">
        <v>6.0000000000000005E-2</v>
      </c>
      <c r="P3" s="27">
        <f t="shared" ref="P3:P28" si="5">(O3-M3)/M3</f>
        <v>-0.19520622967653598</v>
      </c>
      <c r="Q3" s="27">
        <v>0.11</v>
      </c>
      <c r="R3" s="27">
        <v>0.1</v>
      </c>
    </row>
    <row r="4" spans="1:18" x14ac:dyDescent="0.3">
      <c r="A4" s="26" t="s">
        <v>5</v>
      </c>
      <c r="B4" s="27">
        <v>0.32772350441847242</v>
      </c>
      <c r="C4" s="27">
        <v>0.45673256031895521</v>
      </c>
      <c r="D4" s="27">
        <f t="shared" si="0"/>
        <v>0.39365213102246771</v>
      </c>
      <c r="E4" s="27">
        <v>0.36</v>
      </c>
      <c r="F4" s="27">
        <f t="shared" si="1"/>
        <v>-0.24573107242606088</v>
      </c>
      <c r="G4" s="28">
        <v>0.40739999560715251</v>
      </c>
      <c r="H4" s="27">
        <v>0.43414607056166565</v>
      </c>
      <c r="I4" s="27">
        <f t="shared" si="2"/>
        <v>6.5650651062607854E-2</v>
      </c>
      <c r="J4" s="27">
        <v>0.33</v>
      </c>
      <c r="K4" s="27">
        <f t="shared" si="3"/>
        <v>-0.23988716614877859</v>
      </c>
      <c r="L4" s="27">
        <v>0.26487649997437507</v>
      </c>
      <c r="M4" s="27">
        <v>0.10912136911937911</v>
      </c>
      <c r="N4" s="27">
        <f t="shared" si="4"/>
        <v>-0.58802925465288225</v>
      </c>
      <c r="O4" s="27">
        <v>0.09</v>
      </c>
      <c r="P4" s="27">
        <f t="shared" si="5"/>
        <v>-0.17523028966453197</v>
      </c>
      <c r="Q4" s="27">
        <v>0.14000000000000001</v>
      </c>
      <c r="R4" s="27">
        <v>0.08</v>
      </c>
    </row>
    <row r="5" spans="1:18" x14ac:dyDescent="0.3">
      <c r="A5" s="26" t="s">
        <v>6</v>
      </c>
      <c r="B5" s="27">
        <v>0.40299979391387758</v>
      </c>
      <c r="C5" s="27">
        <v>0.49579223951657919</v>
      </c>
      <c r="D5" s="27">
        <f t="shared" si="0"/>
        <v>0.23025432519831926</v>
      </c>
      <c r="E5" s="27">
        <v>0.38</v>
      </c>
      <c r="F5" s="27">
        <f t="shared" si="1"/>
        <v>-0.50288844483962125</v>
      </c>
      <c r="G5" s="28">
        <v>0.43477805819397342</v>
      </c>
      <c r="H5" s="27">
        <v>0.4279711534534365</v>
      </c>
      <c r="I5" s="27">
        <f t="shared" si="2"/>
        <v>-1.5656044761808232E-2</v>
      </c>
      <c r="J5" s="27">
        <v>0.33</v>
      </c>
      <c r="K5" s="27">
        <f t="shared" si="3"/>
        <v>-0.22891999300157459</v>
      </c>
      <c r="L5" s="27">
        <v>0.16222214789214898</v>
      </c>
      <c r="M5" s="27">
        <v>7.6236607029984305E-2</v>
      </c>
      <c r="N5" s="27">
        <f t="shared" si="4"/>
        <v>-0.53004809749733373</v>
      </c>
      <c r="O5" s="27">
        <v>9.9999999999999992E-2</v>
      </c>
      <c r="P5" s="27">
        <f t="shared" si="5"/>
        <v>0.31170580506907142</v>
      </c>
      <c r="Q5" s="27">
        <v>0.12</v>
      </c>
      <c r="R5" s="27">
        <v>7.0000000000000007E-2</v>
      </c>
    </row>
    <row r="6" spans="1:18" x14ac:dyDescent="0.3">
      <c r="A6" s="26" t="s">
        <v>7</v>
      </c>
      <c r="B6" s="27">
        <v>0.6028266095952457</v>
      </c>
      <c r="C6" s="27">
        <v>0.69726646347718058</v>
      </c>
      <c r="D6" s="27">
        <f t="shared" si="0"/>
        <v>0.15666172059880432</v>
      </c>
      <c r="E6" s="27">
        <v>0.5</v>
      </c>
      <c r="F6" s="27">
        <f t="shared" si="1"/>
        <v>-1.2591873925753767</v>
      </c>
      <c r="G6" s="28">
        <v>0.2341222045872014</v>
      </c>
      <c r="H6" s="27">
        <v>0.24309593437403834</v>
      </c>
      <c r="I6" s="27">
        <f t="shared" si="2"/>
        <v>3.8329255452976815E-2</v>
      </c>
      <c r="J6" s="27">
        <v>0.17</v>
      </c>
      <c r="K6" s="27">
        <f t="shared" si="3"/>
        <v>-0.30068760533678707</v>
      </c>
      <c r="L6" s="27">
        <v>0.16305118581755285</v>
      </c>
      <c r="M6" s="27">
        <v>5.9637602148781055E-2</v>
      </c>
      <c r="N6" s="27">
        <f t="shared" si="4"/>
        <v>-0.63423999739865167</v>
      </c>
      <c r="O6" s="27">
        <v>0.13</v>
      </c>
      <c r="P6" s="27">
        <f t="shared" si="5"/>
        <v>1.1798327785829179</v>
      </c>
      <c r="Q6" s="27">
        <v>0.12</v>
      </c>
      <c r="R6" s="27">
        <v>0.08</v>
      </c>
    </row>
    <row r="7" spans="1:18" x14ac:dyDescent="0.3">
      <c r="A7" s="26" t="s">
        <v>8</v>
      </c>
      <c r="B7" s="27">
        <v>0.33123783978172827</v>
      </c>
      <c r="C7" s="27">
        <v>0.65908657232361512</v>
      </c>
      <c r="D7" s="27">
        <f t="shared" si="0"/>
        <v>0.98976835725630052</v>
      </c>
      <c r="E7" s="27">
        <v>0.55000000000000004</v>
      </c>
      <c r="F7" s="27">
        <f t="shared" si="1"/>
        <v>-0.11021424510479386</v>
      </c>
      <c r="G7" s="28">
        <v>0.21742649567482999</v>
      </c>
      <c r="H7" s="27">
        <v>0.25377786012984449</v>
      </c>
      <c r="I7" s="27">
        <f t="shared" si="2"/>
        <v>0.16718921188602245</v>
      </c>
      <c r="J7" s="27">
        <v>0.23</v>
      </c>
      <c r="K7" s="27">
        <f t="shared" si="3"/>
        <v>-9.3695565553585436E-2</v>
      </c>
      <c r="L7" s="27">
        <v>0.45133566454344176</v>
      </c>
      <c r="M7" s="27">
        <v>8.713556754654038E-2</v>
      </c>
      <c r="N7" s="27">
        <f t="shared" si="4"/>
        <v>-0.80693843985344205</v>
      </c>
      <c r="O7" s="27">
        <v>0.09</v>
      </c>
      <c r="P7" s="27">
        <f t="shared" si="5"/>
        <v>3.2873286237903733E-2</v>
      </c>
      <c r="Q7" s="27">
        <v>0.06</v>
      </c>
      <c r="R7" s="27">
        <v>7.0000000000000007E-2</v>
      </c>
    </row>
    <row r="8" spans="1:18" x14ac:dyDescent="0.3">
      <c r="A8" s="26" t="s">
        <v>10</v>
      </c>
      <c r="B8" s="27">
        <v>0.1187323038646521</v>
      </c>
      <c r="C8" s="27">
        <v>0.36851424762066864</v>
      </c>
      <c r="D8" s="27">
        <f t="shared" si="0"/>
        <v>2.1037403943643964</v>
      </c>
      <c r="E8" s="27">
        <v>0.28000000000000003</v>
      </c>
      <c r="F8" s="27">
        <f t="shared" si="1"/>
        <v>-4.2074700784272126E-2</v>
      </c>
      <c r="G8" s="28">
        <v>0.5836610020336338</v>
      </c>
      <c r="H8" s="27">
        <v>0.51651532558898205</v>
      </c>
      <c r="I8" s="27">
        <f t="shared" si="2"/>
        <v>-0.1150422526272921</v>
      </c>
      <c r="J8" s="27">
        <v>0.26</v>
      </c>
      <c r="K8" s="27">
        <f t="shared" si="3"/>
        <v>-0.49662674635351389</v>
      </c>
      <c r="L8" s="27">
        <v>0.29760669410171409</v>
      </c>
      <c r="M8" s="27">
        <v>0.11497042679034934</v>
      </c>
      <c r="N8" s="27">
        <f t="shared" si="4"/>
        <v>-0.61368333082233861</v>
      </c>
      <c r="O8" s="27">
        <v>0.24</v>
      </c>
      <c r="P8" s="27">
        <f t="shared" si="5"/>
        <v>1.0874933380707053</v>
      </c>
      <c r="Q8" s="27">
        <v>0.12</v>
      </c>
      <c r="R8" s="27">
        <v>0.1</v>
      </c>
    </row>
    <row r="9" spans="1:18" x14ac:dyDescent="0.3">
      <c r="A9" s="26" t="s">
        <v>11</v>
      </c>
      <c r="B9" s="27">
        <v>0.24198740159324753</v>
      </c>
      <c r="C9" s="27">
        <v>0.40400516854033758</v>
      </c>
      <c r="D9" s="27">
        <f t="shared" si="0"/>
        <v>0.66952976014603827</v>
      </c>
      <c r="E9" s="27">
        <v>0.3</v>
      </c>
      <c r="F9" s="27">
        <f t="shared" si="1"/>
        <v>-0.15534062073305288</v>
      </c>
      <c r="G9" s="28">
        <v>0.54760856707275418</v>
      </c>
      <c r="H9" s="27">
        <v>0.52227019580123635</v>
      </c>
      <c r="I9" s="27">
        <f t="shared" si="2"/>
        <v>-4.6270954829951423E-2</v>
      </c>
      <c r="J9" s="27">
        <v>0.37</v>
      </c>
      <c r="K9" s="27">
        <f t="shared" si="3"/>
        <v>-0.29155444255752011</v>
      </c>
      <c r="L9" s="27">
        <v>0.21040403133399832</v>
      </c>
      <c r="M9" s="27">
        <v>7.3724635658426116E-2</v>
      </c>
      <c r="N9" s="27">
        <f t="shared" si="4"/>
        <v>-0.64960445296129044</v>
      </c>
      <c r="O9" s="27">
        <v>0.11</v>
      </c>
      <c r="P9" s="27">
        <f t="shared" si="5"/>
        <v>0.49203857052127609</v>
      </c>
      <c r="Q9" s="27">
        <v>0.15</v>
      </c>
      <c r="R9" s="27">
        <v>7.0000000000000007E-2</v>
      </c>
    </row>
    <row r="10" spans="1:18" x14ac:dyDescent="0.3">
      <c r="A10" s="26" t="s">
        <v>12</v>
      </c>
      <c r="B10" s="27">
        <v>0.21855470598559357</v>
      </c>
      <c r="C10" s="27">
        <v>0.39514742620405063</v>
      </c>
      <c r="D10" s="27">
        <f t="shared" si="0"/>
        <v>0.80800236911895873</v>
      </c>
      <c r="E10" s="27">
        <v>0.2</v>
      </c>
      <c r="F10" s="27">
        <f t="shared" si="1"/>
        <v>-0.24151838368597642</v>
      </c>
      <c r="G10" s="28">
        <v>0.5723757339295128</v>
      </c>
      <c r="H10" s="27">
        <v>0.5215860842506076</v>
      </c>
      <c r="I10" s="27">
        <f t="shared" si="2"/>
        <v>-8.8734805946822107E-2</v>
      </c>
      <c r="J10" s="27">
        <v>0.27</v>
      </c>
      <c r="K10" s="27">
        <f t="shared" si="3"/>
        <v>-0.48234815277343074</v>
      </c>
      <c r="L10" s="27">
        <v>0.20906956008489369</v>
      </c>
      <c r="M10" s="27">
        <v>8.3266489545341812E-2</v>
      </c>
      <c r="N10" s="27">
        <f t="shared" si="4"/>
        <v>-0.60172829793332383</v>
      </c>
      <c r="O10" s="27">
        <v>0.38000000000000006</v>
      </c>
      <c r="P10" s="27">
        <f t="shared" si="5"/>
        <v>3.5636606283620904</v>
      </c>
      <c r="Q10" s="27">
        <v>0.11</v>
      </c>
      <c r="R10" s="27">
        <v>0.04</v>
      </c>
    </row>
    <row r="11" spans="1:18" x14ac:dyDescent="0.3">
      <c r="A11" s="26" t="s">
        <v>13</v>
      </c>
      <c r="B11" s="27">
        <v>0.61261390769055302</v>
      </c>
      <c r="C11" s="27">
        <v>0.6884448434477588</v>
      </c>
      <c r="D11" s="27">
        <f t="shared" si="0"/>
        <v>0.12378258933603893</v>
      </c>
      <c r="E11" s="27">
        <v>0.57999999999999996</v>
      </c>
      <c r="F11" s="27">
        <f t="shared" si="1"/>
        <v>-0.87609125022710643</v>
      </c>
      <c r="G11" s="28">
        <v>0.24281031260181932</v>
      </c>
      <c r="H11" s="27">
        <v>0.26016746680346781</v>
      </c>
      <c r="I11" s="27">
        <f t="shared" si="2"/>
        <v>7.148441932164637E-2</v>
      </c>
      <c r="J11" s="27">
        <v>0.2</v>
      </c>
      <c r="K11" s="27">
        <f t="shared" si="3"/>
        <v>-0.23126437576039702</v>
      </c>
      <c r="L11" s="27">
        <v>0.14457577970762764</v>
      </c>
      <c r="M11" s="27">
        <v>5.1387689748773349E-2</v>
      </c>
      <c r="N11" s="27">
        <f t="shared" si="4"/>
        <v>-0.64456225065710504</v>
      </c>
      <c r="O11" s="27">
        <v>6.0000000000000005E-2</v>
      </c>
      <c r="P11" s="27">
        <f t="shared" si="5"/>
        <v>0.16759481294704898</v>
      </c>
      <c r="Q11" s="27">
        <v>0.11</v>
      </c>
      <c r="R11" s="27">
        <v>0.05</v>
      </c>
    </row>
    <row r="12" spans="1:18" x14ac:dyDescent="0.3">
      <c r="A12" s="26" t="s">
        <v>14</v>
      </c>
      <c r="B12" s="27">
        <v>0.24759505940754012</v>
      </c>
      <c r="C12" s="27">
        <v>0.34388850543277727</v>
      </c>
      <c r="D12" s="27">
        <f t="shared" si="0"/>
        <v>0.38891505450736263</v>
      </c>
      <c r="E12" s="27">
        <v>0.26</v>
      </c>
      <c r="F12" s="27">
        <f t="shared" si="1"/>
        <v>-0.21569878681872715</v>
      </c>
      <c r="G12" s="28">
        <v>0.6003900532146651</v>
      </c>
      <c r="H12" s="27">
        <v>0.59844439814031025</v>
      </c>
      <c r="I12" s="27">
        <f t="shared" si="2"/>
        <v>-3.2406517462060472E-3</v>
      </c>
      <c r="J12" s="27">
        <v>0.43</v>
      </c>
      <c r="K12" s="27">
        <f t="shared" si="3"/>
        <v>-0.28147042342406065</v>
      </c>
      <c r="L12" s="27">
        <v>0.15201488737779476</v>
      </c>
      <c r="M12" s="27">
        <v>5.7667096426912541E-2</v>
      </c>
      <c r="N12" s="27">
        <f t="shared" si="4"/>
        <v>-0.62064836265940537</v>
      </c>
      <c r="O12" s="27">
        <v>0.10999999999999999</v>
      </c>
      <c r="P12" s="27">
        <f t="shared" si="5"/>
        <v>0.90750023524098067</v>
      </c>
      <c r="Q12" s="27">
        <v>0.14000000000000001</v>
      </c>
      <c r="R12" s="27">
        <v>0.06</v>
      </c>
    </row>
    <row r="13" spans="1:18" x14ac:dyDescent="0.3">
      <c r="A13" s="26" t="s">
        <v>15</v>
      </c>
      <c r="B13" s="27">
        <v>0.23866866626817806</v>
      </c>
      <c r="C13" s="27">
        <v>0.39039634662230449</v>
      </c>
      <c r="D13" s="27">
        <f t="shared" si="0"/>
        <v>0.63572517803254025</v>
      </c>
      <c r="E13" s="27">
        <v>0.27</v>
      </c>
      <c r="F13" s="27">
        <f t="shared" si="1"/>
        <v>-0.18938426663375266</v>
      </c>
      <c r="G13" s="28">
        <v>0.5505699938079166</v>
      </c>
      <c r="H13" s="27">
        <v>0.5270151275158611</v>
      </c>
      <c r="I13" s="27">
        <f t="shared" si="2"/>
        <v>-4.2782691677660412E-2</v>
      </c>
      <c r="J13" s="27">
        <v>0.33</v>
      </c>
      <c r="K13" s="27">
        <f t="shared" si="3"/>
        <v>-0.3738320158749745</v>
      </c>
      <c r="L13" s="27">
        <v>0.21076133992390539</v>
      </c>
      <c r="M13" s="27">
        <v>8.2588525861834419E-2</v>
      </c>
      <c r="N13" s="27">
        <f t="shared" si="4"/>
        <v>-0.60814195861701825</v>
      </c>
      <c r="O13" s="27">
        <v>0.17</v>
      </c>
      <c r="P13" s="27">
        <f t="shared" si="5"/>
        <v>1.0583973164068781</v>
      </c>
      <c r="Q13" s="27">
        <v>0.13</v>
      </c>
      <c r="R13" s="27">
        <v>0.1</v>
      </c>
    </row>
    <row r="14" spans="1:18" x14ac:dyDescent="0.3">
      <c r="A14" s="26" t="s">
        <v>16</v>
      </c>
      <c r="B14" s="27">
        <v>0.27648671962157007</v>
      </c>
      <c r="C14" s="27">
        <v>0.48287827380598208</v>
      </c>
      <c r="D14" s="27">
        <f t="shared" si="0"/>
        <v>0.74647908755582204</v>
      </c>
      <c r="E14" s="27">
        <v>0.3</v>
      </c>
      <c r="F14" s="27">
        <f t="shared" si="1"/>
        <v>-0.24498780589390104</v>
      </c>
      <c r="G14" s="28">
        <v>0.48308929409702511</v>
      </c>
      <c r="H14" s="27">
        <v>0.43600099961445105</v>
      </c>
      <c r="I14" s="27">
        <f t="shared" si="2"/>
        <v>-9.7473272659850563E-2</v>
      </c>
      <c r="J14" s="27">
        <v>0.31</v>
      </c>
      <c r="K14" s="27">
        <f t="shared" si="3"/>
        <v>-0.28899245581058708</v>
      </c>
      <c r="L14" s="27">
        <v>0.24042398628140485</v>
      </c>
      <c r="M14" s="27">
        <v>8.1120726579566843E-2</v>
      </c>
      <c r="N14" s="27">
        <f t="shared" si="4"/>
        <v>-0.66259303892990573</v>
      </c>
      <c r="O14" s="27">
        <v>0.14000000000000001</v>
      </c>
      <c r="P14" s="27">
        <f t="shared" si="5"/>
        <v>0.72582280636603691</v>
      </c>
      <c r="Q14" s="27">
        <v>0.17</v>
      </c>
      <c r="R14" s="27">
        <v>0.08</v>
      </c>
    </row>
    <row r="15" spans="1:18" x14ac:dyDescent="0.3">
      <c r="A15" s="26" t="s">
        <v>17</v>
      </c>
      <c r="B15" s="27">
        <v>0.41393475566262383</v>
      </c>
      <c r="C15" s="27">
        <v>0.52217167072370219</v>
      </c>
      <c r="D15" s="27">
        <f t="shared" si="0"/>
        <v>0.26148303224215486</v>
      </c>
      <c r="E15" s="27">
        <v>0.4</v>
      </c>
      <c r="F15" s="27">
        <f t="shared" si="1"/>
        <v>-0.46722599809291304</v>
      </c>
      <c r="G15" s="28">
        <v>0.36190922180636703</v>
      </c>
      <c r="H15" s="27">
        <v>0.40271341317488102</v>
      </c>
      <c r="I15" s="27">
        <f t="shared" si="2"/>
        <v>0.11274703409007227</v>
      </c>
      <c r="J15" s="27">
        <v>0.35</v>
      </c>
      <c r="K15" s="27">
        <f t="shared" si="3"/>
        <v>-0.13089559833456524</v>
      </c>
      <c r="L15" s="27">
        <v>0.22415602253100911</v>
      </c>
      <c r="M15" s="27">
        <v>7.5114916101416768E-2</v>
      </c>
      <c r="N15" s="27">
        <f t="shared" si="4"/>
        <v>-0.66489896076280719</v>
      </c>
      <c r="O15" s="27">
        <v>0.11000000000000001</v>
      </c>
      <c r="P15" s="27">
        <f t="shared" si="5"/>
        <v>0.46442285646013348</v>
      </c>
      <c r="Q15" s="27">
        <v>0.1</v>
      </c>
      <c r="R15" s="27">
        <v>0.04</v>
      </c>
    </row>
    <row r="16" spans="1:18" x14ac:dyDescent="0.3">
      <c r="A16" s="26" t="s">
        <v>19</v>
      </c>
      <c r="B16" s="27">
        <v>0.45457307724987345</v>
      </c>
      <c r="C16" s="27">
        <v>0.64205958818807374</v>
      </c>
      <c r="D16" s="27">
        <f t="shared" si="0"/>
        <v>0.4124452597863405</v>
      </c>
      <c r="E16" s="27">
        <v>0.5</v>
      </c>
      <c r="F16" s="27">
        <f t="shared" si="1"/>
        <v>-0.3444325878824866</v>
      </c>
      <c r="G16" s="28">
        <v>0.31295508195631211</v>
      </c>
      <c r="H16" s="27">
        <v>0.29624625467855481</v>
      </c>
      <c r="I16" s="27">
        <f t="shared" si="2"/>
        <v>-5.3390496723391814E-2</v>
      </c>
      <c r="J16" s="27">
        <v>0.21</v>
      </c>
      <c r="K16" s="27">
        <f t="shared" si="3"/>
        <v>-0.29113027866677083</v>
      </c>
      <c r="L16" s="27">
        <v>0.23247184079381439</v>
      </c>
      <c r="M16" s="27">
        <v>6.1694157133371431E-2</v>
      </c>
      <c r="N16" s="27">
        <f t="shared" si="4"/>
        <v>-0.73461664465379417</v>
      </c>
      <c r="O16" s="27">
        <v>7.9999999999999988E-2</v>
      </c>
      <c r="P16" s="27">
        <f t="shared" si="5"/>
        <v>0.29671923107815035</v>
      </c>
      <c r="Q16" s="27">
        <v>0.08</v>
      </c>
      <c r="R16" s="27">
        <v>0.13</v>
      </c>
    </row>
    <row r="17" spans="1:18" x14ac:dyDescent="0.3">
      <c r="A17" s="26" t="s">
        <v>20</v>
      </c>
      <c r="B17" s="27">
        <v>0.19704446482729601</v>
      </c>
      <c r="C17" s="27">
        <v>0.35991730477903577</v>
      </c>
      <c r="D17" s="27">
        <f t="shared" si="0"/>
        <v>0.82657911804065787</v>
      </c>
      <c r="E17" s="27">
        <v>0.23</v>
      </c>
      <c r="F17" s="27">
        <f t="shared" si="1"/>
        <v>-0.1571746756523377</v>
      </c>
      <c r="G17" s="28">
        <v>0.56892693398575811</v>
      </c>
      <c r="H17" s="27">
        <v>0.5525723172022019</v>
      </c>
      <c r="I17" s="27">
        <f t="shared" si="2"/>
        <v>-2.8746427364547328E-2</v>
      </c>
      <c r="J17" s="27">
        <v>0.41</v>
      </c>
      <c r="K17" s="27">
        <f t="shared" si="3"/>
        <v>-0.2580156710058833</v>
      </c>
      <c r="L17" s="27">
        <v>0.23402860118694585</v>
      </c>
      <c r="M17" s="27">
        <v>8.7510378018762366E-2</v>
      </c>
      <c r="N17" s="27">
        <f t="shared" si="4"/>
        <v>-0.62606973004612509</v>
      </c>
      <c r="O17" s="27">
        <v>0.12</v>
      </c>
      <c r="P17" s="27">
        <f t="shared" si="5"/>
        <v>0.37126593115929407</v>
      </c>
      <c r="Q17" s="27">
        <v>0.17</v>
      </c>
      <c r="R17" s="27">
        <v>7.0000000000000007E-2</v>
      </c>
    </row>
    <row r="18" spans="1:18" x14ac:dyDescent="0.3">
      <c r="A18" s="26" t="s">
        <v>21</v>
      </c>
      <c r="B18" s="27">
        <v>0.48868519339972438</v>
      </c>
      <c r="C18" s="27">
        <v>0.65266253228855642</v>
      </c>
      <c r="D18" s="27">
        <f t="shared" si="0"/>
        <v>0.33554799921000539</v>
      </c>
      <c r="E18" s="27">
        <v>0.57999999999999996</v>
      </c>
      <c r="F18" s="27">
        <f t="shared" si="1"/>
        <v>-0.21654884684047851</v>
      </c>
      <c r="G18" s="28">
        <v>0.30574463888446807</v>
      </c>
      <c r="H18" s="27">
        <v>0.29914440713505791</v>
      </c>
      <c r="I18" s="27">
        <f t="shared" si="2"/>
        <v>-2.1587399777446926E-2</v>
      </c>
      <c r="J18" s="27">
        <v>0.2</v>
      </c>
      <c r="K18" s="27">
        <f t="shared" si="3"/>
        <v>-0.33142657783435048</v>
      </c>
      <c r="L18" s="27">
        <v>0.20557016771580755</v>
      </c>
      <c r="M18" s="27">
        <v>4.8193060576385699E-2</v>
      </c>
      <c r="N18" s="27">
        <f t="shared" si="4"/>
        <v>-0.76556393803691081</v>
      </c>
      <c r="O18" s="27">
        <v>0.06</v>
      </c>
      <c r="P18" s="27">
        <f t="shared" si="5"/>
        <v>0.24499252137971966</v>
      </c>
      <c r="Q18" s="27">
        <v>0.11</v>
      </c>
      <c r="R18" s="27">
        <v>0.05</v>
      </c>
    </row>
    <row r="19" spans="1:18" x14ac:dyDescent="0.3">
      <c r="A19" s="26" t="s">
        <v>23</v>
      </c>
      <c r="B19" s="27">
        <v>0.63395518412411844</v>
      </c>
      <c r="C19" s="27">
        <v>0.74252513957735966</v>
      </c>
      <c r="D19" s="27">
        <f t="shared" si="0"/>
        <v>0.17125809232594733</v>
      </c>
      <c r="E19" s="27">
        <v>0.68500000000000005</v>
      </c>
      <c r="F19" s="27">
        <f t="shared" si="1"/>
        <v>-0.33589735116209729</v>
      </c>
      <c r="G19" s="28">
        <v>0.18764450824065426</v>
      </c>
      <c r="H19" s="27">
        <v>0.19903139622360944</v>
      </c>
      <c r="I19" s="27">
        <f t="shared" si="2"/>
        <v>6.0683299978870044E-2</v>
      </c>
      <c r="J19" s="27">
        <v>0.246</v>
      </c>
      <c r="K19" s="27">
        <f t="shared" si="3"/>
        <v>0.23598590306637796</v>
      </c>
      <c r="L19" s="27">
        <v>0.17840030763522727</v>
      </c>
      <c r="M19" s="27">
        <v>5.844346419903091E-2</v>
      </c>
      <c r="N19" s="27">
        <f t="shared" si="4"/>
        <v>-0.67240267142067112</v>
      </c>
      <c r="O19" s="27">
        <v>5.7000000000000002E-2</v>
      </c>
      <c r="P19" s="27">
        <f t="shared" si="5"/>
        <v>-2.4698470886584497E-2</v>
      </c>
      <c r="Q19" s="27">
        <v>6.0000000000000001E-3</v>
      </c>
      <c r="R19" s="27">
        <v>6.0000000000000001E-3</v>
      </c>
    </row>
    <row r="20" spans="1:18" x14ac:dyDescent="0.3">
      <c r="A20" s="26" t="s">
        <v>25</v>
      </c>
      <c r="B20" s="27">
        <v>0.14694688632490627</v>
      </c>
      <c r="C20" s="27">
        <v>0.40681763795041326</v>
      </c>
      <c r="D20" s="27">
        <f t="shared" si="0"/>
        <v>1.7684672205365475</v>
      </c>
      <c r="E20" s="27">
        <v>0.28999999999999998</v>
      </c>
      <c r="F20" s="27">
        <f t="shared" si="1"/>
        <v>-6.6055868377911567E-2</v>
      </c>
      <c r="G20" s="28">
        <v>0.5978579002511063</v>
      </c>
      <c r="H20" s="27">
        <v>0.51088199374896703</v>
      </c>
      <c r="I20" s="27">
        <f t="shared" si="2"/>
        <v>-0.14547922920414452</v>
      </c>
      <c r="J20" s="27">
        <v>0.31</v>
      </c>
      <c r="K20" s="27">
        <f t="shared" si="3"/>
        <v>-0.3932062515549819</v>
      </c>
      <c r="L20" s="27">
        <v>0.25519521342398738</v>
      </c>
      <c r="M20" s="27">
        <v>8.2300368300619764E-2</v>
      </c>
      <c r="N20" s="27">
        <f t="shared" si="4"/>
        <v>-0.67750034494618838</v>
      </c>
      <c r="O20" s="27">
        <v>7.9999999999999988E-2</v>
      </c>
      <c r="P20" s="27">
        <f t="shared" si="5"/>
        <v>-2.795088707522167E-2</v>
      </c>
      <c r="Q20" s="27">
        <v>0.16</v>
      </c>
      <c r="R20" s="27">
        <v>0.16</v>
      </c>
    </row>
    <row r="21" spans="1:18" x14ac:dyDescent="0.3">
      <c r="A21" s="26" t="s">
        <v>26</v>
      </c>
      <c r="B21" s="27">
        <v>0.41186428478568593</v>
      </c>
      <c r="C21" s="27">
        <v>0.62980205892199537</v>
      </c>
      <c r="D21" s="27">
        <f t="shared" si="0"/>
        <v>0.52914948488362767</v>
      </c>
      <c r="E21" s="27">
        <v>0.54</v>
      </c>
      <c r="F21" s="27">
        <f t="shared" si="1"/>
        <v>-0.169710188684668</v>
      </c>
      <c r="G21" s="28">
        <v>0.30210466937424574</v>
      </c>
      <c r="H21" s="27">
        <v>0.31023871299440431</v>
      </c>
      <c r="I21" s="27">
        <f t="shared" si="2"/>
        <v>2.6924587551085344E-2</v>
      </c>
      <c r="J21" s="27">
        <v>0.2</v>
      </c>
      <c r="K21" s="27">
        <f t="shared" si="3"/>
        <v>-0.35533512865105471</v>
      </c>
      <c r="L21" s="27">
        <v>0.28603104584006833</v>
      </c>
      <c r="M21" s="27">
        <v>5.9959228083600366E-2</v>
      </c>
      <c r="N21" s="27">
        <f t="shared" si="4"/>
        <v>-0.79037510453628856</v>
      </c>
      <c r="O21" s="27">
        <v>6.0000000000000005E-2</v>
      </c>
      <c r="P21" s="27">
        <f t="shared" si="5"/>
        <v>6.7999401764797451E-4</v>
      </c>
      <c r="Q21" s="27">
        <v>0.09</v>
      </c>
      <c r="R21" s="27">
        <v>0.11</v>
      </c>
    </row>
    <row r="22" spans="1:18" x14ac:dyDescent="0.3">
      <c r="A22" s="26" t="s">
        <v>27</v>
      </c>
      <c r="B22" s="27">
        <v>0.228058940097633</v>
      </c>
      <c r="C22" s="27">
        <v>0.42283471874212836</v>
      </c>
      <c r="D22" s="27">
        <f t="shared" si="0"/>
        <v>0.85405894880117839</v>
      </c>
      <c r="E22" s="27">
        <v>0.28000000000000003</v>
      </c>
      <c r="F22" s="27">
        <f t="shared" si="1"/>
        <v>-0.16724222484012599</v>
      </c>
      <c r="G22" s="28">
        <v>0.52627017360394046</v>
      </c>
      <c r="H22" s="27">
        <v>0.48887379341680737</v>
      </c>
      <c r="I22" s="27">
        <f t="shared" si="2"/>
        <v>-7.1059281074281055E-2</v>
      </c>
      <c r="J22" s="27">
        <v>0.34</v>
      </c>
      <c r="K22" s="27">
        <f t="shared" si="3"/>
        <v>-0.30452398026146493</v>
      </c>
      <c r="L22" s="27">
        <v>0.24567088629842654</v>
      </c>
      <c r="M22" s="27">
        <v>8.8291487841064262E-2</v>
      </c>
      <c r="N22" s="27">
        <f t="shared" si="4"/>
        <v>-0.64061070006556264</v>
      </c>
      <c r="O22" s="27">
        <v>0.1</v>
      </c>
      <c r="P22" s="27">
        <f t="shared" si="5"/>
        <v>0.13261201555480107</v>
      </c>
      <c r="Q22" s="27">
        <v>0.18</v>
      </c>
      <c r="R22" s="27">
        <v>0.1</v>
      </c>
    </row>
    <row r="23" spans="1:18" x14ac:dyDescent="0.3">
      <c r="A23" s="26" t="s">
        <v>28</v>
      </c>
      <c r="B23" s="27">
        <v>0.20361521145194653</v>
      </c>
      <c r="C23" s="27">
        <v>0.28979058606010616</v>
      </c>
      <c r="D23" s="27">
        <f t="shared" si="0"/>
        <v>0.42322660470039164</v>
      </c>
      <c r="E23" s="27">
        <v>0.25</v>
      </c>
      <c r="F23" s="27">
        <f t="shared" si="1"/>
        <v>-9.401721351679794E-2</v>
      </c>
      <c r="G23" s="28">
        <v>0.62239608926339551</v>
      </c>
      <c r="H23" s="27">
        <v>0.64358223496653699</v>
      </c>
      <c r="I23" s="27">
        <f t="shared" si="2"/>
        <v>3.4039651065634488E-2</v>
      </c>
      <c r="J23" s="27">
        <v>0.45</v>
      </c>
      <c r="K23" s="27">
        <f t="shared" si="3"/>
        <v>-0.30078865520053127</v>
      </c>
      <c r="L23" s="27">
        <v>0.17398869928465802</v>
      </c>
      <c r="M23" s="27">
        <v>6.6627178973356876E-2</v>
      </c>
      <c r="N23" s="27">
        <f t="shared" si="4"/>
        <v>-0.617060307667741</v>
      </c>
      <c r="O23" s="27">
        <v>0.10999999999999999</v>
      </c>
      <c r="P23" s="27">
        <f t="shared" si="5"/>
        <v>0.65097789963442987</v>
      </c>
      <c r="Q23" s="27">
        <v>0.12</v>
      </c>
      <c r="R23" s="27">
        <v>7.0000000000000007E-2</v>
      </c>
    </row>
    <row r="24" spans="1:18" x14ac:dyDescent="0.3">
      <c r="A24" s="26" t="s">
        <v>29</v>
      </c>
      <c r="B24" s="27">
        <v>0.17849762272930908</v>
      </c>
      <c r="C24" s="27">
        <v>0.23045289557561274</v>
      </c>
      <c r="D24" s="27">
        <f t="shared" si="0"/>
        <v>0.29106983080157667</v>
      </c>
      <c r="E24" s="27">
        <v>0.17</v>
      </c>
      <c r="F24" s="27">
        <f t="shared" si="1"/>
        <v>-0.20769206966291084</v>
      </c>
      <c r="G24" s="28">
        <v>0.62974550919837569</v>
      </c>
      <c r="H24" s="27">
        <v>0.69573916861336127</v>
      </c>
      <c r="I24" s="27">
        <f t="shared" si="2"/>
        <v>0.10479417233001176</v>
      </c>
      <c r="J24" s="27">
        <v>0.52</v>
      </c>
      <c r="K24" s="27">
        <f t="shared" si="3"/>
        <v>-0.25259346683559175</v>
      </c>
      <c r="L24" s="27">
        <v>0.19175686807231526</v>
      </c>
      <c r="M24" s="27">
        <v>7.3807935811025946E-2</v>
      </c>
      <c r="N24" s="27">
        <f t="shared" si="4"/>
        <v>-0.61509625937783086</v>
      </c>
      <c r="O24" s="27">
        <v>0.13</v>
      </c>
      <c r="P24" s="27">
        <f t="shared" si="5"/>
        <v>0.76132821723730815</v>
      </c>
      <c r="Q24" s="27">
        <v>0.11</v>
      </c>
      <c r="R24" s="27">
        <v>7.0000000000000007E-2</v>
      </c>
    </row>
    <row r="25" spans="1:18" x14ac:dyDescent="0.3">
      <c r="A25" s="26" t="s">
        <v>30</v>
      </c>
      <c r="B25" s="27">
        <v>0.1513171981375116</v>
      </c>
      <c r="C25" s="27">
        <v>0.29536382494139901</v>
      </c>
      <c r="D25" s="27">
        <f t="shared" si="0"/>
        <v>0.95195145414325633</v>
      </c>
      <c r="E25" s="27">
        <v>0.2</v>
      </c>
      <c r="F25" s="27">
        <f t="shared" si="1"/>
        <v>-0.10017719341289853</v>
      </c>
      <c r="G25" s="28">
        <v>0.65819206968633015</v>
      </c>
      <c r="H25" s="27">
        <v>0.62212328653257554</v>
      </c>
      <c r="I25" s="27">
        <f t="shared" si="2"/>
        <v>-5.4799783854800395E-2</v>
      </c>
      <c r="J25" s="27">
        <v>0.45</v>
      </c>
      <c r="K25" s="27">
        <f t="shared" si="3"/>
        <v>-0.2766707021881632</v>
      </c>
      <c r="L25" s="27">
        <v>0.19049073217615831</v>
      </c>
      <c r="M25" s="27">
        <v>8.2512888526025494E-2</v>
      </c>
      <c r="N25" s="27">
        <f t="shared" si="4"/>
        <v>-0.56684040434197691</v>
      </c>
      <c r="O25" s="27">
        <v>0.14000000000000001</v>
      </c>
      <c r="P25" s="27">
        <f t="shared" si="5"/>
        <v>0.69670463003900829</v>
      </c>
      <c r="Q25" s="27">
        <v>0.13</v>
      </c>
      <c r="R25" s="27">
        <v>0.08</v>
      </c>
    </row>
    <row r="26" spans="1:18" x14ac:dyDescent="0.3">
      <c r="A26" s="26" t="s">
        <v>31</v>
      </c>
      <c r="B26" s="27">
        <v>0.16417669177616934</v>
      </c>
      <c r="C26" s="27">
        <v>0.40886714368467453</v>
      </c>
      <c r="D26" s="27">
        <f t="shared" si="0"/>
        <v>1.4904092003638645</v>
      </c>
      <c r="E26" s="27">
        <v>0.3</v>
      </c>
      <c r="F26" s="27">
        <f t="shared" si="1"/>
        <v>-7.3045136636365374E-2</v>
      </c>
      <c r="G26" s="28">
        <v>0.53004449705964329</v>
      </c>
      <c r="H26" s="27">
        <v>0.47707474497330754</v>
      </c>
      <c r="I26" s="27">
        <f t="shared" si="2"/>
        <v>-9.9934538289103925E-2</v>
      </c>
      <c r="J26" s="27">
        <v>0.36</v>
      </c>
      <c r="K26" s="27">
        <f t="shared" si="3"/>
        <v>-0.24540126302401088</v>
      </c>
      <c r="L26" s="27">
        <v>0.30577881116418737</v>
      </c>
      <c r="M26" s="27">
        <v>0.11405811134201792</v>
      </c>
      <c r="N26" s="27">
        <f t="shared" si="4"/>
        <v>-0.6269914487934396</v>
      </c>
      <c r="O26" s="27">
        <v>0.13</v>
      </c>
      <c r="P26" s="27">
        <f t="shared" si="5"/>
        <v>0.13976988107560612</v>
      </c>
      <c r="Q26" s="27">
        <v>0.12</v>
      </c>
      <c r="R26" s="27">
        <v>0.09</v>
      </c>
    </row>
    <row r="27" spans="1:18" x14ac:dyDescent="0.3">
      <c r="A27" s="26" t="s">
        <v>33</v>
      </c>
      <c r="B27" s="27">
        <v>0.50091548431224675</v>
      </c>
      <c r="C27" s="27">
        <v>0.63824366620662465</v>
      </c>
      <c r="D27" s="27">
        <f t="shared" si="0"/>
        <v>0.2741543956919768</v>
      </c>
      <c r="E27" s="27">
        <v>0.53</v>
      </c>
      <c r="F27" s="27">
        <f t="shared" si="1"/>
        <v>-0.39482739619553875</v>
      </c>
      <c r="G27" s="28">
        <v>0.27211105070239744</v>
      </c>
      <c r="H27" s="27">
        <v>0.29159016413643535</v>
      </c>
      <c r="I27" s="27">
        <f t="shared" si="2"/>
        <v>7.158516121912975E-2</v>
      </c>
      <c r="J27" s="27">
        <v>0.19</v>
      </c>
      <c r="K27" s="27">
        <f t="shared" si="3"/>
        <v>-0.34840051768310404</v>
      </c>
      <c r="L27" s="27">
        <v>0.22697346498535576</v>
      </c>
      <c r="M27" s="27">
        <v>7.0166169656940058E-2</v>
      </c>
      <c r="N27" s="27">
        <f t="shared" si="4"/>
        <v>-0.69086179452092711</v>
      </c>
      <c r="O27" s="27">
        <v>0.08</v>
      </c>
      <c r="P27" s="27">
        <f t="shared" si="5"/>
        <v>0.14015059381379941</v>
      </c>
      <c r="Q27" s="27">
        <v>0.11</v>
      </c>
      <c r="R27" s="27">
        <v>0.09</v>
      </c>
    </row>
    <row r="28" spans="1:18" x14ac:dyDescent="0.3">
      <c r="A28" s="26" t="s">
        <v>34</v>
      </c>
      <c r="B28" s="27">
        <v>0.41124266610285953</v>
      </c>
      <c r="C28" s="27">
        <v>0.50395339014518581</v>
      </c>
      <c r="D28" s="27">
        <f t="shared" si="0"/>
        <v>0.22544043136598471</v>
      </c>
      <c r="E28" s="27">
        <v>0.37</v>
      </c>
      <c r="F28" s="27">
        <f t="shared" si="1"/>
        <v>-0.59418529912109275</v>
      </c>
      <c r="G28" s="28">
        <v>0.44635287277340241</v>
      </c>
      <c r="H28" s="27">
        <v>0.44000640525788126</v>
      </c>
      <c r="I28" s="27">
        <f t="shared" si="2"/>
        <v>-1.4218498194237063E-2</v>
      </c>
      <c r="J28" s="27">
        <v>0.32</v>
      </c>
      <c r="K28" s="27">
        <f t="shared" si="3"/>
        <v>-0.2727378597762623</v>
      </c>
      <c r="L28" s="27">
        <v>0.14240446112373803</v>
      </c>
      <c r="M28" s="27">
        <v>5.6040204596932902E-2</v>
      </c>
      <c r="N28" s="27">
        <f t="shared" si="4"/>
        <v>-0.6064715658855766</v>
      </c>
      <c r="O28" s="27">
        <v>0.16000000000000003</v>
      </c>
      <c r="P28" s="27">
        <f t="shared" si="5"/>
        <v>1.8550930738171658</v>
      </c>
      <c r="Q28" s="27">
        <v>0.1</v>
      </c>
      <c r="R28" s="27">
        <v>0.05</v>
      </c>
    </row>
  </sheetData>
  <autoFilter ref="A1:R28" xr:uid="{00000000-0009-0000-0000-000000000000}"/>
  <conditionalFormatting sqref="F2:F28">
    <cfRule type="cellIs" dxfId="11" priority="11" operator="lessThan">
      <formula>0</formula>
    </cfRule>
    <cfRule type="cellIs" dxfId="10" priority="12" operator="greaterThan">
      <formula>0</formula>
    </cfRule>
  </conditionalFormatting>
  <conditionalFormatting sqref="D2:D28">
    <cfRule type="cellIs" dxfId="9" priority="9" operator="lessThan">
      <formula>0</formula>
    </cfRule>
    <cfRule type="cellIs" dxfId="8" priority="10" operator="greaterThan">
      <formula>0</formula>
    </cfRule>
  </conditionalFormatting>
  <conditionalFormatting sqref="I2:I28">
    <cfRule type="cellIs" dxfId="7" priority="7" operator="lessThan">
      <formula>0</formula>
    </cfRule>
    <cfRule type="cellIs" dxfId="6" priority="8" operator="greaterThan">
      <formula>0</formula>
    </cfRule>
  </conditionalFormatting>
  <conditionalFormatting sqref="K2:K28">
    <cfRule type="cellIs" dxfId="5" priority="5" operator="lessThan">
      <formula>0</formula>
    </cfRule>
    <cfRule type="cellIs" dxfId="4" priority="6" operator="greaterThan">
      <formula>0</formula>
    </cfRule>
  </conditionalFormatting>
  <conditionalFormatting sqref="P2:P28">
    <cfRule type="cellIs" dxfId="3" priority="3" operator="lessThan">
      <formula>0</formula>
    </cfRule>
    <cfRule type="cellIs" dxfId="2" priority="4" operator="greaterThan">
      <formula>0</formula>
    </cfRule>
  </conditionalFormatting>
  <conditionalFormatting sqref="N2:N28">
    <cfRule type="cellIs" dxfId="1" priority="1" operator="lessThan">
      <formula>0</formula>
    </cfRule>
    <cfRule type="cellIs" dxfId="0" priority="2" operator="greaterThan">
      <formula>0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30DD7-ED21-4FA9-82E1-B21F7410CAF7}">
  <dimension ref="A1:N30"/>
  <sheetViews>
    <sheetView workbookViewId="0">
      <selection activeCell="F2" sqref="F2"/>
    </sheetView>
  </sheetViews>
  <sheetFormatPr defaultColWidth="8.5546875" defaultRowHeight="14.4" x14ac:dyDescent="0.3"/>
  <cols>
    <col min="1" max="1" width="17.6640625" bestFit="1" customWidth="1"/>
    <col min="2" max="2" width="11.109375" style="15" bestFit="1" customWidth="1"/>
    <col min="3" max="3" width="10.109375" style="15" bestFit="1" customWidth="1"/>
    <col min="4" max="4" width="5.6640625" style="15" bestFit="1" customWidth="1"/>
    <col min="5" max="5" width="10.109375" style="15" bestFit="1" customWidth="1"/>
    <col min="6" max="6" width="5.6640625" style="15" bestFit="1" customWidth="1"/>
    <col min="7" max="7" width="10.109375" style="15" bestFit="1" customWidth="1"/>
    <col min="8" max="8" width="5.6640625" style="15" bestFit="1" customWidth="1"/>
    <col min="9" max="9" width="10.109375" style="15" bestFit="1" customWidth="1"/>
    <col min="10" max="10" width="5.6640625" style="15" bestFit="1" customWidth="1"/>
    <col min="11" max="11" width="10.6640625" style="15" bestFit="1" customWidth="1"/>
    <col min="12" max="12" width="4.88671875" style="15" bestFit="1" customWidth="1"/>
    <col min="13" max="13" width="9.109375" style="15" bestFit="1" customWidth="1"/>
    <col min="14" max="14" width="4.88671875" style="15" bestFit="1" customWidth="1"/>
  </cols>
  <sheetData>
    <row r="1" spans="1:14" s="7" customFormat="1" x14ac:dyDescent="0.3">
      <c r="A1" s="4" t="s">
        <v>65</v>
      </c>
      <c r="B1" s="5" t="s">
        <v>66</v>
      </c>
      <c r="C1" s="5" t="s">
        <v>67</v>
      </c>
      <c r="D1" s="5" t="s">
        <v>68</v>
      </c>
      <c r="E1" s="4" t="s">
        <v>69</v>
      </c>
      <c r="F1" s="5" t="s">
        <v>68</v>
      </c>
      <c r="G1" s="4" t="s">
        <v>64</v>
      </c>
      <c r="H1" s="5" t="s">
        <v>68</v>
      </c>
      <c r="I1" s="6" t="s">
        <v>59</v>
      </c>
      <c r="J1" s="5" t="s">
        <v>68</v>
      </c>
      <c r="K1" s="5" t="s">
        <v>70</v>
      </c>
      <c r="L1" s="5" t="s">
        <v>68</v>
      </c>
      <c r="M1" s="5" t="s">
        <v>71</v>
      </c>
      <c r="N1" s="5" t="s">
        <v>68</v>
      </c>
    </row>
    <row r="2" spans="1:14" x14ac:dyDescent="0.3">
      <c r="A2" s="8" t="s">
        <v>1</v>
      </c>
      <c r="B2" s="9">
        <v>547608</v>
      </c>
      <c r="C2" s="9">
        <v>103974</v>
      </c>
      <c r="D2" s="10">
        <f>C2/B2</f>
        <v>0.18986939562606828</v>
      </c>
      <c r="E2" s="11">
        <v>262508</v>
      </c>
      <c r="F2" s="12">
        <f>E2/(E2+G2+I2)</f>
        <v>0.62238428746876318</v>
      </c>
      <c r="G2" s="9">
        <v>78170</v>
      </c>
      <c r="H2" s="10">
        <f>G2/(E2+G2+I2)</f>
        <v>0.18533446505033455</v>
      </c>
      <c r="I2" s="9">
        <v>81100</v>
      </c>
      <c r="J2" s="10">
        <f>I2/(E2+G2+I2)</f>
        <v>0.19228124748090228</v>
      </c>
      <c r="K2" s="9">
        <v>5499</v>
      </c>
      <c r="L2" s="10">
        <f>K2/(E2+G2+I2+K2+M2)</f>
        <v>1.2390325676972786E-2</v>
      </c>
      <c r="M2" s="9">
        <v>16537</v>
      </c>
      <c r="N2" s="10">
        <f>M2/(E2+G2+I2+K2+M2)</f>
        <v>3.7261104877268407E-2</v>
      </c>
    </row>
    <row r="3" spans="1:14" x14ac:dyDescent="0.3">
      <c r="A3" s="8" t="s">
        <v>3</v>
      </c>
      <c r="B3" s="9">
        <v>2187948</v>
      </c>
      <c r="C3" s="9">
        <v>494445</v>
      </c>
      <c r="D3" s="10">
        <f>C3/B3</f>
        <v>0.22598571812492801</v>
      </c>
      <c r="E3" s="9">
        <v>528355</v>
      </c>
      <c r="F3" s="10">
        <f>E3/(E3+G3+I3)</f>
        <v>0.34403801149408819</v>
      </c>
      <c r="G3" s="11">
        <v>687247</v>
      </c>
      <c r="H3" s="12">
        <f>G3/(E3+G3+I3)</f>
        <v>0.44750043301431358</v>
      </c>
      <c r="I3" s="9">
        <v>320144</v>
      </c>
      <c r="J3" s="10">
        <f>I3/(E3+G3+I3)</f>
        <v>0.20846155549159823</v>
      </c>
      <c r="K3" s="9">
        <v>46692</v>
      </c>
      <c r="L3" s="10">
        <f>K3/(E3+G3+I3+K3+M3)</f>
        <v>2.7571253195299919E-2</v>
      </c>
      <c r="M3" s="9">
        <v>111065</v>
      </c>
      <c r="N3" s="10">
        <f>M3/(E3+G3+I3+K3+M3)</f>
        <v>6.5582995719523376E-2</v>
      </c>
    </row>
    <row r="4" spans="1:14" x14ac:dyDescent="0.3">
      <c r="A4" s="8" t="s">
        <v>5</v>
      </c>
      <c r="B4" s="9">
        <v>512119</v>
      </c>
      <c r="C4" s="9">
        <v>85499</v>
      </c>
      <c r="D4" s="10">
        <f>C4/B4</f>
        <v>0.16695143121032416</v>
      </c>
      <c r="E4" s="11">
        <v>166935</v>
      </c>
      <c r="F4" s="12">
        <f>E4/(E4+G4+I4)</f>
        <v>0.40739999560715251</v>
      </c>
      <c r="G4" s="9">
        <v>134287</v>
      </c>
      <c r="H4" s="10">
        <f>G4/(E4+G4+I4)</f>
        <v>0.32772350441847242</v>
      </c>
      <c r="I4" s="9">
        <v>108535</v>
      </c>
      <c r="J4" s="10">
        <f>I4/(E4+G4+I4)</f>
        <v>0.26487649997437507</v>
      </c>
      <c r="K4" s="9">
        <v>4739</v>
      </c>
      <c r="L4" s="10">
        <f>K4/(E4+G4+I4+K4+M4)</f>
        <v>1.1108246214429704E-2</v>
      </c>
      <c r="M4" s="9">
        <v>12124</v>
      </c>
      <c r="N4" s="10">
        <f>M4/(E4+G4+I4+K4+M4)</f>
        <v>2.8418733298954574E-2</v>
      </c>
    </row>
    <row r="5" spans="1:14" x14ac:dyDescent="0.3">
      <c r="A5" s="8" t="s">
        <v>6</v>
      </c>
      <c r="B5" s="9">
        <v>2428842</v>
      </c>
      <c r="C5" s="9">
        <v>469964</v>
      </c>
      <c r="D5" s="10">
        <f>C5/B5</f>
        <v>0.19349303083527047</v>
      </c>
      <c r="E5" s="11">
        <v>805902</v>
      </c>
      <c r="F5" s="12">
        <f>E5/(E5+G5+I5)</f>
        <v>0.43477805819397342</v>
      </c>
      <c r="G5" s="9">
        <v>746998</v>
      </c>
      <c r="H5" s="10">
        <f>G5/(E5+G5+I5)</f>
        <v>0.40299979391387758</v>
      </c>
      <c r="I5" s="9">
        <v>300694</v>
      </c>
      <c r="J5" s="10">
        <f>I5/(E5+G5+I5)</f>
        <v>0.16222214789214898</v>
      </c>
      <c r="K5" s="9">
        <v>29010</v>
      </c>
      <c r="L5" s="10">
        <f>K5/(E5+G5+I5+K5+M5)</f>
        <v>1.4809475409685427E-2</v>
      </c>
      <c r="M5" s="9">
        <v>76277</v>
      </c>
      <c r="N5" s="10">
        <f>M5/(E5+G5+I5+K5+M5)</f>
        <v>3.8939067763687531E-2</v>
      </c>
    </row>
    <row r="6" spans="1:14" x14ac:dyDescent="0.3">
      <c r="A6" s="13" t="s">
        <v>7</v>
      </c>
      <c r="B6" s="9">
        <v>10392015</v>
      </c>
      <c r="C6" s="9">
        <v>2155168</v>
      </c>
      <c r="D6" s="10">
        <f>C6/B6</f>
        <v>0.20738692159316552</v>
      </c>
      <c r="E6" s="9">
        <v>1725140</v>
      </c>
      <c r="F6" s="10">
        <f>E6/(E6+G6+I6)</f>
        <v>0.2341222045872014</v>
      </c>
      <c r="G6" s="11">
        <v>4441955</v>
      </c>
      <c r="H6" s="12">
        <f>G6/(E6+G6+I6)</f>
        <v>0.6028266095952457</v>
      </c>
      <c r="I6" s="9">
        <v>1201450</v>
      </c>
      <c r="J6" s="10">
        <f>I6/(E6+G6+I6)</f>
        <v>0.16305118581755285</v>
      </c>
      <c r="K6" s="9">
        <v>169806</v>
      </c>
      <c r="L6" s="10">
        <f>K6/(E6+G6+I6+K6+M6)</f>
        <v>2.0617279948363917E-2</v>
      </c>
      <c r="M6" s="9">
        <v>697750</v>
      </c>
      <c r="N6" s="10">
        <f>M6/(E6+G6+I6+K6+M6)</f>
        <v>8.4718485118140244E-2</v>
      </c>
    </row>
    <row r="7" spans="1:14" x14ac:dyDescent="0.3">
      <c r="A7" s="8" t="s">
        <v>8</v>
      </c>
      <c r="B7" s="9">
        <v>6343897</v>
      </c>
      <c r="C7" s="9">
        <v>1099185</v>
      </c>
      <c r="D7" s="10">
        <f>C7/B7</f>
        <v>0.1732665268682641</v>
      </c>
      <c r="E7" s="9">
        <v>1061075</v>
      </c>
      <c r="F7" s="10">
        <f>E7/(E7+G7+I7)</f>
        <v>0.21742649567482999</v>
      </c>
      <c r="G7" s="9">
        <v>1616492</v>
      </c>
      <c r="H7" s="10">
        <f>G7/(E7+G7+I7)</f>
        <v>0.33123783978172827</v>
      </c>
      <c r="I7" s="9">
        <v>2202588</v>
      </c>
      <c r="J7" s="10">
        <f>I7/(E7+G7+I7)</f>
        <v>0.45133566454344176</v>
      </c>
      <c r="K7" s="9">
        <v>111881</v>
      </c>
      <c r="L7" s="10">
        <f>K7/(E7+G7+I7+K7+M7)</f>
        <v>2.1332153224047384E-2</v>
      </c>
      <c r="M7" s="9">
        <v>252676</v>
      </c>
      <c r="N7" s="10">
        <f>M7/(E7+G7+I7+K7+M7)</f>
        <v>4.8177287904464537E-2</v>
      </c>
    </row>
    <row r="8" spans="1:14" x14ac:dyDescent="0.3">
      <c r="A8" s="8" t="s">
        <v>10</v>
      </c>
      <c r="B8" s="9">
        <v>2085825</v>
      </c>
      <c r="C8" s="9">
        <v>390101</v>
      </c>
      <c r="D8" s="10">
        <f>C8/B8</f>
        <v>0.18702479834118393</v>
      </c>
      <c r="E8" s="11">
        <v>936494</v>
      </c>
      <c r="F8" s="12">
        <f>E8/(E8+G8+I8)</f>
        <v>0.5836610020336338</v>
      </c>
      <c r="G8" s="9">
        <v>190508</v>
      </c>
      <c r="H8" s="10">
        <f>G8/(E8+G8+I8)</f>
        <v>0.1187323038646521</v>
      </c>
      <c r="I8" s="9">
        <v>477515</v>
      </c>
      <c r="J8" s="10">
        <f>I8/(E8+G8+I8)</f>
        <v>0.29760669410171409</v>
      </c>
      <c r="K8" s="9">
        <v>31995</v>
      </c>
      <c r="L8" s="10">
        <f>K8/(E8+G8+I8+K8+M8)</f>
        <v>1.886804692273035E-2</v>
      </c>
      <c r="M8" s="9">
        <v>59212</v>
      </c>
      <c r="N8" s="10">
        <f>M8/(E8+G8+I8+K8+M8)</f>
        <v>3.4918418327510845E-2</v>
      </c>
    </row>
    <row r="9" spans="1:14" x14ac:dyDescent="0.3">
      <c r="A9" s="8" t="s">
        <v>11</v>
      </c>
      <c r="B9" s="9">
        <v>2754739</v>
      </c>
      <c r="C9" s="9">
        <v>530480</v>
      </c>
      <c r="D9" s="10">
        <f>C9/B9</f>
        <v>0.19256996760854658</v>
      </c>
      <c r="E9" s="11">
        <v>1122131</v>
      </c>
      <c r="F9" s="12">
        <f>E9/(E9+G9+I9)</f>
        <v>0.54760856707275418</v>
      </c>
      <c r="G9" s="9">
        <v>495868</v>
      </c>
      <c r="H9" s="10">
        <f>G9/(E9+G9+I9)</f>
        <v>0.24198740159324753</v>
      </c>
      <c r="I9" s="9">
        <v>431149</v>
      </c>
      <c r="J9" s="10">
        <f>I9/(E9+G9+I9)</f>
        <v>0.21040403133399832</v>
      </c>
      <c r="K9" s="9">
        <v>61910</v>
      </c>
      <c r="L9" s="10">
        <f>K9/(E9+G9+I9+K9+M9)</f>
        <v>2.7833988757604219E-2</v>
      </c>
      <c r="M9" s="9">
        <v>113201</v>
      </c>
      <c r="N9" s="10">
        <f>M9/(E9+G9+I9+K9+M9)</f>
        <v>5.0893803284599498E-2</v>
      </c>
    </row>
    <row r="10" spans="1:14" x14ac:dyDescent="0.3">
      <c r="A10" s="8" t="s">
        <v>12</v>
      </c>
      <c r="B10" s="9">
        <v>4454402</v>
      </c>
      <c r="C10" s="9">
        <v>899468</v>
      </c>
      <c r="D10" s="10">
        <f>C10/B10</f>
        <v>0.20192789065737668</v>
      </c>
      <c r="E10" s="11">
        <v>1868686</v>
      </c>
      <c r="F10" s="12">
        <f>E10/(E10+G10+I10)</f>
        <v>0.5723757339295128</v>
      </c>
      <c r="G10" s="9">
        <v>713535</v>
      </c>
      <c r="H10" s="10">
        <f>G10/(E10+G10+I10)</f>
        <v>0.21855470598559357</v>
      </c>
      <c r="I10" s="9">
        <v>682568</v>
      </c>
      <c r="J10" s="10">
        <f>I10/(E10+G10+I10)</f>
        <v>0.20906956008489369</v>
      </c>
      <c r="K10" s="9">
        <v>81276</v>
      </c>
      <c r="L10" s="10">
        <f>K10/(E10+G10+I10+K10+M10)</f>
        <v>2.2862871715761811E-2</v>
      </c>
      <c r="M10" s="9">
        <v>208869</v>
      </c>
      <c r="N10" s="10">
        <f>M10/(E10+G10+I10+K10+M10)</f>
        <v>5.8754677302025861E-2</v>
      </c>
    </row>
    <row r="11" spans="1:14" x14ac:dyDescent="0.3">
      <c r="A11" s="8" t="s">
        <v>13</v>
      </c>
      <c r="B11" s="9">
        <v>4536954</v>
      </c>
      <c r="C11" s="9">
        <v>931732</v>
      </c>
      <c r="D11" s="10">
        <f>C11/B11</f>
        <v>0.20536509737590464</v>
      </c>
      <c r="E11" s="9">
        <v>817511</v>
      </c>
      <c r="F11" s="10">
        <f>E11/(E11+G11+I11)</f>
        <v>0.24281031260181932</v>
      </c>
      <c r="G11" s="11">
        <v>2062592</v>
      </c>
      <c r="H11" s="12">
        <f>G11/(E11+G11+I11)</f>
        <v>0.61261390769055302</v>
      </c>
      <c r="I11" s="9">
        <v>486768</v>
      </c>
      <c r="J11" s="10">
        <f>I11/(E11+G11+I11)</f>
        <v>0.14457577970762764</v>
      </c>
      <c r="K11" s="9">
        <v>60408</v>
      </c>
      <c r="L11" s="10">
        <f>K11/(E11+G11+I11+K11+M11)</f>
        <v>1.6755694933626834E-2</v>
      </c>
      <c r="M11" s="9">
        <v>177943</v>
      </c>
      <c r="N11" s="10">
        <f>M11/(E11+G11+I11+K11+M11)</f>
        <v>4.9357016017321544E-2</v>
      </c>
    </row>
    <row r="12" spans="1:14" x14ac:dyDescent="0.3">
      <c r="A12" s="8" t="s">
        <v>14</v>
      </c>
      <c r="B12" s="9">
        <v>2330024</v>
      </c>
      <c r="C12" s="9">
        <v>572086</v>
      </c>
      <c r="D12" s="10">
        <f>C12/B12</f>
        <v>0.24552794305981399</v>
      </c>
      <c r="E12" s="11">
        <v>981119</v>
      </c>
      <c r="F12" s="12">
        <f>E12/(E12+G12+I12)</f>
        <v>0.6003900532146651</v>
      </c>
      <c r="G12" s="9">
        <v>404604</v>
      </c>
      <c r="H12" s="10">
        <f>G12/(E12+G12+I12)</f>
        <v>0.24759505940754012</v>
      </c>
      <c r="I12" s="9">
        <v>248413</v>
      </c>
      <c r="J12" s="10">
        <f>I12/(E12+G12+I12)</f>
        <v>0.15201488737779476</v>
      </c>
      <c r="K12" s="9">
        <v>33540</v>
      </c>
      <c r="L12" s="10">
        <f>K12/(E12+G12+I12+K12+M12)</f>
        <v>1.9079171165308446E-2</v>
      </c>
      <c r="M12" s="9">
        <v>90262</v>
      </c>
      <c r="N12" s="10">
        <f>M12/(E12+G12+I12+K12+M12)</f>
        <v>5.1345383056740343E-2</v>
      </c>
    </row>
    <row r="13" spans="1:14" x14ac:dyDescent="0.3">
      <c r="A13" s="8" t="s">
        <v>15</v>
      </c>
      <c r="B13" s="9">
        <v>1877705</v>
      </c>
      <c r="C13" s="9">
        <v>398397</v>
      </c>
      <c r="D13" s="10">
        <f>C13/B13</f>
        <v>0.21217230608641932</v>
      </c>
      <c r="E13" s="11">
        <v>769116</v>
      </c>
      <c r="F13" s="12">
        <f>E13/(E13+G13+I13)</f>
        <v>0.5505699938079166</v>
      </c>
      <c r="G13" s="9">
        <v>333407</v>
      </c>
      <c r="H13" s="10">
        <f>G13/(E13+G13+I13)</f>
        <v>0.23866866626817806</v>
      </c>
      <c r="I13" s="9">
        <v>294422</v>
      </c>
      <c r="J13" s="10">
        <f>I13/(E13+G13+I13)</f>
        <v>0.21076133992390539</v>
      </c>
      <c r="K13" s="9">
        <v>30951</v>
      </c>
      <c r="L13" s="10">
        <f>K13/(E13+G13+I13+K13+M13)</f>
        <v>2.0922620576648E-2</v>
      </c>
      <c r="M13" s="9">
        <v>51412</v>
      </c>
      <c r="N13" s="10">
        <f>M13/(E13+G13+I13+K13+M13)</f>
        <v>3.4754087722097086E-2</v>
      </c>
    </row>
    <row r="14" spans="1:14" x14ac:dyDescent="0.3">
      <c r="A14" s="8" t="s">
        <v>16</v>
      </c>
      <c r="B14" s="9">
        <v>15698955</v>
      </c>
      <c r="C14" s="9">
        <v>3484274</v>
      </c>
      <c r="D14" s="10">
        <f>C14/B14</f>
        <v>0.22194305289746993</v>
      </c>
      <c r="E14" s="11">
        <v>5308047</v>
      </c>
      <c r="F14" s="12">
        <f>E14/(E14+G14+I14)</f>
        <v>0.48308929409702511</v>
      </c>
      <c r="G14" s="9">
        <v>3037957</v>
      </c>
      <c r="H14" s="10">
        <f>G14/(E14+G14+I14)</f>
        <v>0.27648671962157007</v>
      </c>
      <c r="I14" s="9">
        <v>2641710</v>
      </c>
      <c r="J14" s="10">
        <f>I14/(E14+G14+I14)</f>
        <v>0.24042398628140485</v>
      </c>
      <c r="K14" s="9">
        <v>381959</v>
      </c>
      <c r="L14" s="10">
        <f>K14/(E14+G14+I14+K14+M14)</f>
        <v>3.127048508266405E-2</v>
      </c>
      <c r="M14" s="9">
        <v>845008</v>
      </c>
      <c r="N14" s="10">
        <f>M14/(E14+G14+I14+K14+M14)</f>
        <v>6.9179702687282629E-2</v>
      </c>
    </row>
    <row r="15" spans="1:14" x14ac:dyDescent="0.3">
      <c r="A15" s="13" t="s">
        <v>17</v>
      </c>
      <c r="B15" s="9">
        <v>5498941</v>
      </c>
      <c r="C15" s="9">
        <v>1097143</v>
      </c>
      <c r="D15" s="10">
        <f>C15/B15</f>
        <v>0.19951896192375951</v>
      </c>
      <c r="E15" s="9">
        <v>1499294</v>
      </c>
      <c r="F15" s="10">
        <f>E15/(E15+G15+I15)</f>
        <v>0.36190922180636703</v>
      </c>
      <c r="G15" s="11">
        <v>1714822</v>
      </c>
      <c r="H15" s="12">
        <f>G15/(E15+G15+I15)</f>
        <v>0.41393475566262383</v>
      </c>
      <c r="I15" s="9">
        <v>928619</v>
      </c>
      <c r="J15" s="10">
        <f>I15/(E15+G15+I15)</f>
        <v>0.22415602253100911</v>
      </c>
      <c r="K15" s="9">
        <v>70590</v>
      </c>
      <c r="L15" s="10">
        <f>K15/(E15+G15+I15+K15+M15)</f>
        <v>1.6036628668557713E-2</v>
      </c>
      <c r="M15" s="9">
        <v>188473</v>
      </c>
      <c r="N15" s="10">
        <f>M15/(E15+G15+I15+K15+M15)</f>
        <v>4.2817276031294482E-2</v>
      </c>
    </row>
    <row r="16" spans="1:14" x14ac:dyDescent="0.3">
      <c r="A16" s="8" t="s">
        <v>19</v>
      </c>
      <c r="B16" s="9">
        <v>2868028</v>
      </c>
      <c r="C16" s="9">
        <v>431154</v>
      </c>
      <c r="D16" s="10">
        <f>C16/B16</f>
        <v>0.15033116831495369</v>
      </c>
      <c r="E16" s="9">
        <v>677718</v>
      </c>
      <c r="F16" s="10">
        <f>E16/(E16+G16+I16)</f>
        <v>0.31295508195631211</v>
      </c>
      <c r="G16" s="11">
        <v>984398</v>
      </c>
      <c r="H16" s="12">
        <f>G16/(E16+G16+I16)</f>
        <v>0.45457307724987345</v>
      </c>
      <c r="I16" s="9">
        <v>503428</v>
      </c>
      <c r="J16" s="10">
        <f>I16/(E16+G16+I16)</f>
        <v>0.23247184079381439</v>
      </c>
      <c r="K16" s="9">
        <v>67039</v>
      </c>
      <c r="L16" s="10">
        <f>K16/(E16+G16+I16+K16+M16)</f>
        <v>2.7510244682326618E-2</v>
      </c>
      <c r="M16" s="9">
        <v>204291</v>
      </c>
      <c r="N16" s="10">
        <f>M16/(E16+G16+I16+K16+M16)</f>
        <v>8.383322239886018E-2</v>
      </c>
    </row>
    <row r="17" spans="1:14" x14ac:dyDescent="0.3">
      <c r="A17" s="8" t="s">
        <v>21</v>
      </c>
      <c r="B17" s="9">
        <v>6569262</v>
      </c>
      <c r="C17" s="9">
        <v>1176076</v>
      </c>
      <c r="D17" s="10">
        <f>C17/B17</f>
        <v>0.1790271114167771</v>
      </c>
      <c r="E17" s="9">
        <v>1444685</v>
      </c>
      <c r="F17" s="10">
        <f>E17/(E17+G17+I17)</f>
        <v>0.30574463888446807</v>
      </c>
      <c r="G17" s="11">
        <v>2309104</v>
      </c>
      <c r="H17" s="12">
        <f>G17/(E17+G17+I17)</f>
        <v>0.48868519339972438</v>
      </c>
      <c r="I17" s="9">
        <v>971347</v>
      </c>
      <c r="J17" s="10">
        <f>I17/(E17+G17+I17)</f>
        <v>0.20557016771580755</v>
      </c>
      <c r="K17" s="9">
        <v>153557</v>
      </c>
      <c r="L17" s="10">
        <f>K17/(E17+G17+I17+K17+M17)</f>
        <v>2.8472831796741989E-2</v>
      </c>
      <c r="M17" s="9">
        <v>514413</v>
      </c>
      <c r="N17" s="10">
        <f>M17/(E17+G17+I17+K17+M17)</f>
        <v>9.538343952445956E-2</v>
      </c>
    </row>
    <row r="18" spans="1:14" x14ac:dyDescent="0.3">
      <c r="A18" s="8" t="s">
        <v>20</v>
      </c>
      <c r="B18" s="9">
        <v>7972308</v>
      </c>
      <c r="C18" s="9">
        <v>1351843</v>
      </c>
      <c r="D18" s="10">
        <f>C18/B18</f>
        <v>0.16956733232082855</v>
      </c>
      <c r="E18" s="11">
        <v>3496448</v>
      </c>
      <c r="F18" s="12">
        <f>E18/(E18+G18+I18)</f>
        <v>0.56892693398575811</v>
      </c>
      <c r="G18" s="9">
        <v>1210974</v>
      </c>
      <c r="H18" s="10">
        <f>G18/(E18+G18+I18)</f>
        <v>0.19704446482729601</v>
      </c>
      <c r="I18" s="9">
        <v>1438267</v>
      </c>
      <c r="J18" s="10">
        <f>I18/(E18+G18+I18)</f>
        <v>0.23402860118694585</v>
      </c>
      <c r="K18" s="9">
        <v>165991</v>
      </c>
      <c r="L18" s="10">
        <f>K18/(E18+G18+I18+K18+M18)</f>
        <v>2.5072408055929606E-2</v>
      </c>
      <c r="M18" s="9">
        <v>308785</v>
      </c>
      <c r="N18" s="10">
        <f>M18/(E18+G18+I18+K18+M18)</f>
        <v>4.664098367712842E-2</v>
      </c>
    </row>
    <row r="19" spans="1:14" x14ac:dyDescent="0.3">
      <c r="A19" s="8" t="s">
        <v>23</v>
      </c>
      <c r="B19" s="9">
        <v>2370421</v>
      </c>
      <c r="C19" s="9">
        <v>372489</v>
      </c>
      <c r="D19" s="10">
        <f>C19/B19</f>
        <v>0.1571404404534047</v>
      </c>
      <c r="E19" s="9">
        <v>346944</v>
      </c>
      <c r="F19" s="10">
        <f>E19/(E19+G19+I19)</f>
        <v>0.18764450824065426</v>
      </c>
      <c r="G19" s="11">
        <v>1172147</v>
      </c>
      <c r="H19" s="12">
        <f>G19/(E19+G19+I19)</f>
        <v>0.63395518412411844</v>
      </c>
      <c r="I19" s="9">
        <v>329852</v>
      </c>
      <c r="J19" s="10">
        <f>I19/(E19+G19+I19)</f>
        <v>0.17840030763522727</v>
      </c>
      <c r="K19" s="9">
        <v>32809</v>
      </c>
      <c r="L19" s="10">
        <f>K19/(E19+G19+I19+K19+M19)</f>
        <v>1.6417371219035724E-2</v>
      </c>
      <c r="M19" s="9">
        <v>116680</v>
      </c>
      <c r="N19" s="10">
        <f>M19/(E19+G19+I19+K19+M19)</f>
        <v>5.8385774447166576E-2</v>
      </c>
    </row>
    <row r="20" spans="1:14" x14ac:dyDescent="0.3">
      <c r="A20" s="8" t="s">
        <v>25</v>
      </c>
      <c r="B20" s="9">
        <v>12406805</v>
      </c>
      <c r="C20" s="9">
        <v>2927225</v>
      </c>
      <c r="D20" s="10">
        <f>C20/B20</f>
        <v>0.23593705228703118</v>
      </c>
      <c r="E20" s="11">
        <v>5107735</v>
      </c>
      <c r="F20" s="12">
        <f>E20/(E20+G20+I20)</f>
        <v>0.5978579002511063</v>
      </c>
      <c r="G20" s="9">
        <v>1255425</v>
      </c>
      <c r="H20" s="10">
        <f>G20/(E20+G20+I20)</f>
        <v>0.14694688632490627</v>
      </c>
      <c r="I20" s="9">
        <v>2180233</v>
      </c>
      <c r="J20" s="10">
        <f>I20/(E20+G20+I20)</f>
        <v>0.25519521342398738</v>
      </c>
      <c r="K20" s="9">
        <v>282605</v>
      </c>
      <c r="L20" s="10">
        <f>K20/(E20+G20+I20+K20+M20)</f>
        <v>2.9811974792132139E-2</v>
      </c>
      <c r="M20" s="9">
        <v>653582</v>
      </c>
      <c r="N20" s="10">
        <f>M20/(E20+G20+I20+K20+M20)</f>
        <v>6.8946303528215389E-2</v>
      </c>
    </row>
    <row r="21" spans="1:14" x14ac:dyDescent="0.3">
      <c r="A21" s="8" t="s">
        <v>26</v>
      </c>
      <c r="B21" s="9">
        <v>2373957</v>
      </c>
      <c r="C21" s="9">
        <v>406222</v>
      </c>
      <c r="D21" s="10">
        <f>C21/B21</f>
        <v>0.17111598904276698</v>
      </c>
      <c r="E21" s="9">
        <v>541448</v>
      </c>
      <c r="F21" s="10">
        <f>E21/(E21+G21+I21)</f>
        <v>0.30210466937424574</v>
      </c>
      <c r="G21" s="11">
        <v>738165</v>
      </c>
      <c r="H21" s="12">
        <f>G21/(E21+G21+I21)</f>
        <v>0.41186428478568593</v>
      </c>
      <c r="I21" s="9">
        <v>512640</v>
      </c>
      <c r="J21" s="10">
        <f>I21/(E21+G21+I21)</f>
        <v>0.28603104584006833</v>
      </c>
      <c r="K21" s="9">
        <v>44605</v>
      </c>
      <c r="L21" s="10">
        <f>K21/(E21+G21+I21+K21+M21)</f>
        <v>2.2668194650194259E-2</v>
      </c>
      <c r="M21" s="9">
        <v>130877</v>
      </c>
      <c r="N21" s="10">
        <f>M21/(E21+G21+I21+K21+M21)</f>
        <v>6.6511496720849092E-2</v>
      </c>
    </row>
    <row r="22" spans="1:14" x14ac:dyDescent="0.3">
      <c r="A22" s="8" t="s">
        <v>27</v>
      </c>
      <c r="B22" s="9">
        <v>8353657</v>
      </c>
      <c r="C22" s="9">
        <v>1515109</v>
      </c>
      <c r="D22" s="10">
        <f>C22/B22</f>
        <v>0.18137074577038537</v>
      </c>
      <c r="E22" s="11">
        <v>3353623</v>
      </c>
      <c r="F22" s="12">
        <f>E22/(E22+G22+I22)</f>
        <v>0.52627017360394046</v>
      </c>
      <c r="G22" s="9">
        <v>1453291</v>
      </c>
      <c r="H22" s="10">
        <f>G22/(E22+G22+I22)</f>
        <v>0.228058940097633</v>
      </c>
      <c r="I22" s="9">
        <v>1565522</v>
      </c>
      <c r="J22" s="10">
        <f>I22/(E22+G22+I22)</f>
        <v>0.24567088629842654</v>
      </c>
      <c r="K22" s="9">
        <v>235396</v>
      </c>
      <c r="L22" s="10">
        <f>K22/(E22+G22+I22+K22+M22)</f>
        <v>3.4421926993858931E-2</v>
      </c>
      <c r="M22" s="9">
        <v>230716</v>
      </c>
      <c r="N22" s="10">
        <f>M22/(E22+G22+I22+K22+M22)</f>
        <v>3.3737571192013274E-2</v>
      </c>
    </row>
    <row r="23" spans="1:14" x14ac:dyDescent="0.3">
      <c r="A23" s="8" t="s">
        <v>28</v>
      </c>
      <c r="B23" s="9">
        <v>1175617</v>
      </c>
      <c r="C23" s="9">
        <v>262277</v>
      </c>
      <c r="D23" s="10">
        <f>C23/B23</f>
        <v>0.22309731825926302</v>
      </c>
      <c r="E23" s="11">
        <v>538311</v>
      </c>
      <c r="F23" s="12">
        <f>E23/(E23+G23+I23)</f>
        <v>0.62239608926339551</v>
      </c>
      <c r="G23" s="9">
        <v>176107</v>
      </c>
      <c r="H23" s="10">
        <f>G23/(E23+G23+I23)</f>
        <v>0.20361521145194653</v>
      </c>
      <c r="I23" s="9">
        <v>150483</v>
      </c>
      <c r="J23" s="10">
        <f>I23/(E23+G23+I23)</f>
        <v>0.17398869928465802</v>
      </c>
      <c r="K23" s="9">
        <v>15329</v>
      </c>
      <c r="L23" s="10">
        <f>K23/(E23+G23+I23+K23+M23)</f>
        <v>1.6783454135371273E-2</v>
      </c>
      <c r="M23" s="9">
        <v>33110</v>
      </c>
      <c r="N23" s="10">
        <f>M23/(E23+G23+I23+K23+M23)</f>
        <v>3.6251560207589725E-2</v>
      </c>
    </row>
    <row r="24" spans="1:14" x14ac:dyDescent="0.3">
      <c r="A24" s="8" t="s">
        <v>29</v>
      </c>
      <c r="B24" s="9">
        <v>333591</v>
      </c>
      <c r="C24" s="9">
        <v>46441</v>
      </c>
      <c r="D24" s="10">
        <f>C24/B24</f>
        <v>0.13921538650623069</v>
      </c>
      <c r="E24" s="11">
        <v>174306</v>
      </c>
      <c r="F24" s="12">
        <f>E24/(E24+G24+I24)</f>
        <v>0.62974550919837569</v>
      </c>
      <c r="G24" s="9">
        <v>49406</v>
      </c>
      <c r="H24" s="10">
        <f>G24/(E24+G24+I24)</f>
        <v>0.17849762272930908</v>
      </c>
      <c r="I24" s="9">
        <v>53076</v>
      </c>
      <c r="J24" s="10">
        <f>I24/(E24+G24+I24)</f>
        <v>0.19175686807231526</v>
      </c>
      <c r="K24" s="9">
        <v>2833</v>
      </c>
      <c r="L24" s="10">
        <f>K24/(E24+G24+I24+K24+M24)</f>
        <v>9.865923733240467E-3</v>
      </c>
      <c r="M24" s="9">
        <v>7529</v>
      </c>
      <c r="N24" s="10">
        <f>M24/(E24+G24+I24+K24+M24)</f>
        <v>2.6219745777468221E-2</v>
      </c>
    </row>
    <row r="25" spans="1:14" x14ac:dyDescent="0.3">
      <c r="A25" s="8" t="s">
        <v>30</v>
      </c>
      <c r="B25" s="9">
        <v>5073479</v>
      </c>
      <c r="C25" s="9">
        <v>827201</v>
      </c>
      <c r="D25" s="10">
        <f>C25/B25</f>
        <v>0.16304413598637149</v>
      </c>
      <c r="E25" s="11">
        <v>2603665</v>
      </c>
      <c r="F25" s="12">
        <f>E25/(E25+G25+I25)</f>
        <v>0.65819206968633015</v>
      </c>
      <c r="G25" s="9">
        <v>598578</v>
      </c>
      <c r="H25" s="10">
        <f>G25/(E25+G25+I25)</f>
        <v>0.1513171981375116</v>
      </c>
      <c r="I25" s="9">
        <v>753540</v>
      </c>
      <c r="J25" s="10">
        <f>I25/(E25+G25+I25)</f>
        <v>0.19049073217615831</v>
      </c>
      <c r="K25" s="9">
        <v>103220</v>
      </c>
      <c r="L25" s="10">
        <f>K25/(E25+G25+I25+K25+M25)</f>
        <v>2.4308347216079589E-2</v>
      </c>
      <c r="M25" s="9">
        <v>187275</v>
      </c>
      <c r="N25" s="10">
        <f>M25/(E25+G25+I25+K25+M25)</f>
        <v>4.4103330022198267E-2</v>
      </c>
    </row>
    <row r="26" spans="1:14" x14ac:dyDescent="0.3">
      <c r="A26" s="8" t="s">
        <v>31</v>
      </c>
      <c r="B26" s="9">
        <v>33042545</v>
      </c>
      <c r="C26" s="9">
        <v>7111796</v>
      </c>
      <c r="D26" s="10">
        <f>C26/B26</f>
        <v>0.21523148413658816</v>
      </c>
      <c r="E26" s="11">
        <v>12378012</v>
      </c>
      <c r="F26" s="12">
        <f>E26/(E26+G26+I26)</f>
        <v>0.53004449705964329</v>
      </c>
      <c r="G26" s="9">
        <v>3833982</v>
      </c>
      <c r="H26" s="10">
        <f>G26/(E26+G26+I26)</f>
        <v>0.16417669177616934</v>
      </c>
      <c r="I26" s="9">
        <v>7140785</v>
      </c>
      <c r="J26" s="10">
        <f>I26/(E26+G26+I26)</f>
        <v>0.30577881116418737</v>
      </c>
      <c r="K26" s="9">
        <v>837211</v>
      </c>
      <c r="L26" s="10">
        <f>K26/(E26+G26+I26+K26+M26)</f>
        <v>3.2286417951135925E-2</v>
      </c>
      <c r="M26" s="9">
        <v>1740759</v>
      </c>
      <c r="N26" s="10">
        <f>M26/(E26+G26+I26+K26+M26)</f>
        <v>6.7131072843287329E-2</v>
      </c>
    </row>
    <row r="27" spans="1:14" x14ac:dyDescent="0.3">
      <c r="A27" s="8" t="s">
        <v>33</v>
      </c>
      <c r="B27" s="9">
        <v>1577123</v>
      </c>
      <c r="C27" s="9">
        <v>296823</v>
      </c>
      <c r="D27" s="10">
        <f>C27/B27</f>
        <v>0.18820535874500594</v>
      </c>
      <c r="E27" s="9">
        <v>310310</v>
      </c>
      <c r="F27" s="10">
        <f>E27/(E27+G27+I27)</f>
        <v>0.27211105070239744</v>
      </c>
      <c r="G27" s="11">
        <v>571234</v>
      </c>
      <c r="H27" s="12">
        <f>G27/(E27+G27+I27)</f>
        <v>0.50091548431224675</v>
      </c>
      <c r="I27" s="9">
        <v>258836</v>
      </c>
      <c r="J27" s="10">
        <f>I27/(E27+G27+I27)</f>
        <v>0.22697346498535576</v>
      </c>
      <c r="K27" s="9">
        <v>32124</v>
      </c>
      <c r="L27" s="10">
        <f>K27/(E27+G27+I27+K27+M27)</f>
        <v>2.5090994298211357E-2</v>
      </c>
      <c r="M27" s="9">
        <v>107796</v>
      </c>
      <c r="N27" s="10">
        <f>M27/(E27+G27+I27+K27+M27)</f>
        <v>8.4195891587909077E-2</v>
      </c>
    </row>
    <row r="28" spans="1:14" x14ac:dyDescent="0.3">
      <c r="A28" s="8" t="s">
        <v>34</v>
      </c>
      <c r="B28" s="9">
        <v>1039188</v>
      </c>
      <c r="C28" s="9">
        <v>207589</v>
      </c>
      <c r="D28" s="10">
        <f>C28/B28</f>
        <v>0.19976077475875395</v>
      </c>
      <c r="E28" s="11">
        <v>337782</v>
      </c>
      <c r="F28" s="12">
        <f>E28/(E28+G28+I28)</f>
        <v>0.44635287277340241</v>
      </c>
      <c r="G28" s="9">
        <v>311212</v>
      </c>
      <c r="H28" s="10">
        <f>G28/(E28+G28+I28)</f>
        <v>0.41124266610285953</v>
      </c>
      <c r="I28" s="9">
        <v>107766</v>
      </c>
      <c r="J28" s="10">
        <f>I28/(E28+G28+I28)</f>
        <v>0.14240446112373803</v>
      </c>
      <c r="K28" s="9">
        <v>8915</v>
      </c>
      <c r="L28" s="10">
        <f>K28/(E28+G28+I28+K28+M28)</f>
        <v>1.0720311111485224E-2</v>
      </c>
      <c r="M28" s="9">
        <v>65924</v>
      </c>
      <c r="N28" s="10">
        <f>M28/(E28+G28+I28+K28+M28)</f>
        <v>7.9273784600510586E-2</v>
      </c>
    </row>
    <row r="29" spans="1:14" x14ac:dyDescent="0.3">
      <c r="A29" s="8" t="s">
        <v>72</v>
      </c>
      <c r="B29" s="9">
        <v>500340</v>
      </c>
      <c r="C29" s="9">
        <v>297104</v>
      </c>
      <c r="D29" s="10">
        <f>C29/B29</f>
        <v>0.59380421313506815</v>
      </c>
      <c r="E29" s="11">
        <v>113690</v>
      </c>
      <c r="F29" s="12">
        <f>E29/(E29+G29+I29)</f>
        <v>0.58790677470899411</v>
      </c>
      <c r="G29" s="9">
        <v>19540</v>
      </c>
      <c r="H29" s="10">
        <f>G29/(E29+G29+I29)</f>
        <v>0.10104405293177716</v>
      </c>
      <c r="I29" s="9">
        <v>60151</v>
      </c>
      <c r="J29" s="10">
        <f>I29/(E29+G29+I29)</f>
        <v>0.31104917235922869</v>
      </c>
      <c r="K29" s="9">
        <v>5046</v>
      </c>
      <c r="L29" s="10">
        <f>K29/(E29+G29+I29+K29+M29)</f>
        <v>2.4885828985135576E-2</v>
      </c>
      <c r="M29" s="9">
        <v>4339</v>
      </c>
      <c r="N29" s="10">
        <f>M29/(E29+G29+I29+K29+M29)</f>
        <v>2.1399051122969335E-2</v>
      </c>
    </row>
    <row r="30" spans="1:14" x14ac:dyDescent="0.3">
      <c r="A30" s="14" t="s">
        <v>73</v>
      </c>
      <c r="B30" s="11">
        <v>147306295</v>
      </c>
      <c r="C30" s="11">
        <v>29941265</v>
      </c>
      <c r="D30" s="12">
        <f>C30/B30</f>
        <v>0.20325855728025743</v>
      </c>
      <c r="E30" s="11">
        <v>49276990</v>
      </c>
      <c r="F30" s="12">
        <f>E30/(E30+G30+I30)</f>
        <v>0.46031462128220341</v>
      </c>
      <c r="G30" s="11">
        <v>31342005</v>
      </c>
      <c r="H30" s="12">
        <f>G30/(E30+G30+I30)</f>
        <v>0.29277728127874542</v>
      </c>
      <c r="I30" s="11">
        <v>26431678</v>
      </c>
      <c r="J30" s="12">
        <f>I30/(E30+G30+I30)</f>
        <v>0.24690809743905112</v>
      </c>
      <c r="K30" s="11">
        <v>3106936</v>
      </c>
      <c r="L30" s="12">
        <f>K30/(E30+G30+I30+K30+M30)</f>
        <v>2.647269114822734E-2</v>
      </c>
      <c r="M30" s="11">
        <v>7206205</v>
      </c>
      <c r="N30" s="12">
        <f>M30/(E30+G30+I30+K30+M30)</f>
        <v>6.140056934414214E-2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F8D4A-B1E8-45A4-85B3-1722C07D6C3F}">
  <dimension ref="A1:N30"/>
  <sheetViews>
    <sheetView workbookViewId="0">
      <selection activeCell="G1" sqref="G1"/>
    </sheetView>
  </sheetViews>
  <sheetFormatPr defaultColWidth="8.5546875" defaultRowHeight="14.4" x14ac:dyDescent="0.3"/>
  <cols>
    <col min="1" max="1" width="30.33203125" customWidth="1"/>
    <col min="2" max="2" width="11.109375" style="15" bestFit="1" customWidth="1"/>
    <col min="3" max="3" width="10.109375" style="15" bestFit="1" customWidth="1"/>
    <col min="4" max="4" width="5.6640625" style="15" bestFit="1" customWidth="1"/>
    <col min="5" max="5" width="10.109375" style="15" bestFit="1" customWidth="1"/>
    <col min="6" max="6" width="5.6640625" style="15" bestFit="1" customWidth="1"/>
    <col min="7" max="7" width="10.109375" style="15" bestFit="1" customWidth="1"/>
    <col min="8" max="8" width="5.6640625" style="15" bestFit="1" customWidth="1"/>
    <col min="9" max="9" width="9.109375" style="15" bestFit="1" customWidth="1"/>
    <col min="10" max="10" width="5.6640625" style="15" bestFit="1" customWidth="1"/>
    <col min="11" max="11" width="9.109375" style="15" bestFit="1" customWidth="1"/>
    <col min="12" max="12" width="4.88671875" style="15" bestFit="1" customWidth="1"/>
    <col min="13" max="13" width="9.109375" style="15" bestFit="1" customWidth="1"/>
    <col min="14" max="14" width="4.88671875" style="15" bestFit="1" customWidth="1"/>
  </cols>
  <sheetData>
    <row r="1" spans="1:14" ht="20.399999999999999" x14ac:dyDescent="0.3">
      <c r="A1" s="16" t="s">
        <v>65</v>
      </c>
      <c r="B1" s="5" t="s">
        <v>66</v>
      </c>
      <c r="C1" s="5" t="s">
        <v>67</v>
      </c>
      <c r="D1" s="5" t="s">
        <v>68</v>
      </c>
      <c r="E1" s="16" t="s">
        <v>74</v>
      </c>
      <c r="F1" s="5" t="s">
        <v>68</v>
      </c>
      <c r="G1" s="16" t="s">
        <v>69</v>
      </c>
      <c r="H1" s="5" t="s">
        <v>68</v>
      </c>
      <c r="I1" s="6" t="s">
        <v>59</v>
      </c>
      <c r="J1" s="5" t="s">
        <v>68</v>
      </c>
      <c r="K1" s="5" t="s">
        <v>70</v>
      </c>
      <c r="L1" s="5" t="s">
        <v>68</v>
      </c>
      <c r="M1" s="5" t="s">
        <v>71</v>
      </c>
      <c r="N1" s="5" t="s">
        <v>68</v>
      </c>
    </row>
    <row r="2" spans="1:14" x14ac:dyDescent="0.3">
      <c r="A2" s="8" t="s">
        <v>1</v>
      </c>
      <c r="B2" s="9">
        <v>588433</v>
      </c>
      <c r="C2" s="9">
        <v>131835</v>
      </c>
      <c r="D2" s="10">
        <f t="shared" ref="D2:D30" si="0">C2/B2</f>
        <v>0.22404419874480186</v>
      </c>
      <c r="E2" s="9">
        <v>129022</v>
      </c>
      <c r="F2" s="10">
        <f t="shared" ref="F2:F30" si="1">E2/(E2+G2+I2)</f>
        <v>0.29262196739976004</v>
      </c>
      <c r="G2" s="11">
        <v>275582</v>
      </c>
      <c r="H2" s="12">
        <f t="shared" ref="H2:H30" si="2">G2/(E2+G2+I2)</f>
        <v>0.6250201285049114</v>
      </c>
      <c r="I2" s="9">
        <v>36313</v>
      </c>
      <c r="J2" s="10">
        <f t="shared" ref="J2:J30" si="3">I2/(E2+G2+I2)</f>
        <v>8.2357904095328602E-2</v>
      </c>
      <c r="K2" s="9">
        <v>4664</v>
      </c>
      <c r="L2" s="10">
        <f t="shared" ref="L2:L30" si="4">K2/(E2+G2+I2+K2+M2)</f>
        <v>1.0230246346262253E-2</v>
      </c>
      <c r="M2" s="9">
        <v>10322</v>
      </c>
      <c r="N2" s="10">
        <f t="shared" ref="N2:N30" si="5">M2/(E2+G2+I2+K2+M2)</f>
        <v>2.2640781043335972E-2</v>
      </c>
    </row>
    <row r="3" spans="1:14" x14ac:dyDescent="0.3">
      <c r="A3" s="8" t="s">
        <v>3</v>
      </c>
      <c r="B3" s="9">
        <v>2325656</v>
      </c>
      <c r="C3" s="9">
        <v>520520</v>
      </c>
      <c r="D3" s="10">
        <f t="shared" si="0"/>
        <v>0.22381641996924739</v>
      </c>
      <c r="E3" s="11">
        <v>974156</v>
      </c>
      <c r="F3" s="12">
        <f t="shared" si="1"/>
        <v>0.56498456980762857</v>
      </c>
      <c r="G3" s="9">
        <v>621515</v>
      </c>
      <c r="H3" s="10">
        <f t="shared" si="2"/>
        <v>0.36046216920492025</v>
      </c>
      <c r="I3" s="9">
        <v>128546</v>
      </c>
      <c r="J3" s="10">
        <f t="shared" si="3"/>
        <v>7.4553260987451117E-2</v>
      </c>
      <c r="K3" s="9">
        <v>28792</v>
      </c>
      <c r="L3" s="10">
        <f t="shared" si="4"/>
        <v>1.5942670175766942E-2</v>
      </c>
      <c r="M3" s="9">
        <v>52962</v>
      </c>
      <c r="N3" s="10">
        <f t="shared" si="5"/>
        <v>2.9326052300950568E-2</v>
      </c>
    </row>
    <row r="4" spans="1:14" x14ac:dyDescent="0.3">
      <c r="A4" s="8" t="s">
        <v>5</v>
      </c>
      <c r="B4" s="9">
        <v>550687</v>
      </c>
      <c r="C4" s="9">
        <v>107323</v>
      </c>
      <c r="D4" s="10">
        <f t="shared" si="0"/>
        <v>0.19488929282877571</v>
      </c>
      <c r="E4" s="11">
        <v>197382</v>
      </c>
      <c r="F4" s="12">
        <f t="shared" si="1"/>
        <v>0.45673256031895521</v>
      </c>
      <c r="G4" s="9">
        <v>187621</v>
      </c>
      <c r="H4" s="10">
        <f t="shared" si="2"/>
        <v>0.43414607056166565</v>
      </c>
      <c r="I4" s="9">
        <v>47158</v>
      </c>
      <c r="J4" s="10">
        <f t="shared" si="3"/>
        <v>0.10912136911937911</v>
      </c>
      <c r="K4" s="9">
        <v>3289</v>
      </c>
      <c r="L4" s="10">
        <f t="shared" si="4"/>
        <v>7.4270281499948061E-3</v>
      </c>
      <c r="M4" s="9">
        <v>7392</v>
      </c>
      <c r="N4" s="10">
        <f t="shared" si="5"/>
        <v>1.6692183668215753E-2</v>
      </c>
    </row>
    <row r="5" spans="1:14" x14ac:dyDescent="0.3">
      <c r="A5" s="8" t="s">
        <v>6</v>
      </c>
      <c r="B5" s="9">
        <v>2647748</v>
      </c>
      <c r="C5" s="9">
        <v>533069</v>
      </c>
      <c r="D5" s="10">
        <f t="shared" si="0"/>
        <v>0.20132920504519311</v>
      </c>
      <c r="E5" s="11">
        <v>1019684</v>
      </c>
      <c r="F5" s="12">
        <f t="shared" si="1"/>
        <v>0.49579223951657919</v>
      </c>
      <c r="G5" s="9">
        <v>880198</v>
      </c>
      <c r="H5" s="10">
        <f t="shared" si="2"/>
        <v>0.4279711534534365</v>
      </c>
      <c r="I5" s="9">
        <v>156794</v>
      </c>
      <c r="J5" s="10">
        <f t="shared" si="3"/>
        <v>7.6236607029984305E-2</v>
      </c>
      <c r="K5" s="9">
        <v>19570</v>
      </c>
      <c r="L5" s="10">
        <f t="shared" si="4"/>
        <v>9.2583349851994377E-3</v>
      </c>
      <c r="M5" s="9">
        <v>37525</v>
      </c>
      <c r="N5" s="10">
        <f t="shared" si="5"/>
        <v>1.7752632617251348E-2</v>
      </c>
    </row>
    <row r="6" spans="1:14" x14ac:dyDescent="0.3">
      <c r="A6" s="13" t="s">
        <v>7</v>
      </c>
      <c r="B6" s="9">
        <v>11291528</v>
      </c>
      <c r="C6" s="9">
        <v>2408564</v>
      </c>
      <c r="D6" s="10">
        <f t="shared" si="0"/>
        <v>0.21330718039223745</v>
      </c>
      <c r="E6" s="11">
        <v>5873081</v>
      </c>
      <c r="F6" s="12">
        <f t="shared" si="1"/>
        <v>0.69726646347718058</v>
      </c>
      <c r="G6" s="9">
        <v>2047599</v>
      </c>
      <c r="H6" s="10">
        <f t="shared" si="2"/>
        <v>0.24309593437403834</v>
      </c>
      <c r="I6" s="9">
        <v>502328</v>
      </c>
      <c r="J6" s="10">
        <f t="shared" si="3"/>
        <v>5.9637602148781055E-2</v>
      </c>
      <c r="K6" s="9">
        <v>123450</v>
      </c>
      <c r="L6" s="10">
        <f t="shared" si="4"/>
        <v>1.3910108361377967E-2</v>
      </c>
      <c r="M6" s="9">
        <v>328383</v>
      </c>
      <c r="N6" s="10">
        <f t="shared" si="5"/>
        <v>3.7001564309715518E-2</v>
      </c>
    </row>
    <row r="7" spans="1:14" x14ac:dyDescent="0.3">
      <c r="A7" s="8" t="s">
        <v>8</v>
      </c>
      <c r="B7" s="9">
        <v>6820673</v>
      </c>
      <c r="C7" s="9">
        <v>1190122</v>
      </c>
      <c r="D7" s="10">
        <f t="shared" si="0"/>
        <v>0.17448747359681369</v>
      </c>
      <c r="E7" s="11">
        <v>3578355</v>
      </c>
      <c r="F7" s="12">
        <f t="shared" si="1"/>
        <v>0.65908657232361512</v>
      </c>
      <c r="G7" s="9">
        <v>1377827</v>
      </c>
      <c r="H7" s="10">
        <f t="shared" si="2"/>
        <v>0.25377786012984449</v>
      </c>
      <c r="I7" s="9">
        <v>473082</v>
      </c>
      <c r="J7" s="10">
        <f t="shared" si="3"/>
        <v>8.713556754654038E-2</v>
      </c>
      <c r="K7" s="9">
        <v>72246</v>
      </c>
      <c r="L7" s="10">
        <f t="shared" si="4"/>
        <v>1.2835495797363825E-2</v>
      </c>
      <c r="M7" s="9">
        <v>127100</v>
      </c>
      <c r="N7" s="10">
        <f t="shared" si="5"/>
        <v>2.2581063530782913E-2</v>
      </c>
    </row>
    <row r="8" spans="1:14" x14ac:dyDescent="0.3">
      <c r="A8" s="8" t="s">
        <v>10</v>
      </c>
      <c r="B8" s="9">
        <v>2203045</v>
      </c>
      <c r="C8" s="9">
        <v>387096</v>
      </c>
      <c r="D8" s="10">
        <f t="shared" si="0"/>
        <v>0.17570952931056788</v>
      </c>
      <c r="E8" s="9">
        <v>649534</v>
      </c>
      <c r="F8" s="10">
        <f t="shared" si="1"/>
        <v>0.36851424762066864</v>
      </c>
      <c r="G8" s="11">
        <v>910397</v>
      </c>
      <c r="H8" s="12">
        <f t="shared" si="2"/>
        <v>0.51651532558898205</v>
      </c>
      <c r="I8" s="9">
        <v>202644</v>
      </c>
      <c r="J8" s="10">
        <f t="shared" si="3"/>
        <v>0.11497042679034934</v>
      </c>
      <c r="K8" s="9">
        <v>25162</v>
      </c>
      <c r="L8" s="10">
        <f t="shared" si="4"/>
        <v>1.3826034397494368E-2</v>
      </c>
      <c r="M8" s="9">
        <v>32163</v>
      </c>
      <c r="N8" s="10">
        <f t="shared" si="5"/>
        <v>1.7672949063135338E-2</v>
      </c>
    </row>
    <row r="9" spans="1:14" x14ac:dyDescent="0.3">
      <c r="A9" s="8" t="s">
        <v>11</v>
      </c>
      <c r="B9" s="9">
        <v>2921506</v>
      </c>
      <c r="C9" s="9">
        <v>606490</v>
      </c>
      <c r="D9" s="10">
        <f t="shared" si="0"/>
        <v>0.20759498696904952</v>
      </c>
      <c r="E9" s="9">
        <v>897348</v>
      </c>
      <c r="F9" s="10">
        <f t="shared" si="1"/>
        <v>0.40400516854033758</v>
      </c>
      <c r="G9" s="11">
        <v>1160030</v>
      </c>
      <c r="H9" s="12">
        <f t="shared" si="2"/>
        <v>0.52227019580123635</v>
      </c>
      <c r="I9" s="9">
        <v>163752</v>
      </c>
      <c r="J9" s="10">
        <f t="shared" si="3"/>
        <v>7.3724635658426116E-2</v>
      </c>
      <c r="K9" s="9">
        <v>39541</v>
      </c>
      <c r="L9" s="10">
        <f t="shared" si="4"/>
        <v>1.7073788942388861E-2</v>
      </c>
      <c r="M9" s="9">
        <v>55218</v>
      </c>
      <c r="N9" s="10">
        <f t="shared" si="5"/>
        <v>2.3843111651724241E-2</v>
      </c>
    </row>
    <row r="10" spans="1:14" x14ac:dyDescent="0.3">
      <c r="A10" s="8" t="s">
        <v>12</v>
      </c>
      <c r="B10" s="9">
        <v>4870354</v>
      </c>
      <c r="C10" s="9">
        <v>1057695</v>
      </c>
      <c r="D10" s="10">
        <f t="shared" si="0"/>
        <v>0.21717004554494396</v>
      </c>
      <c r="E10" s="9">
        <v>1454723</v>
      </c>
      <c r="F10" s="10">
        <f t="shared" si="1"/>
        <v>0.39514742620405063</v>
      </c>
      <c r="G10" s="11">
        <v>1920203</v>
      </c>
      <c r="H10" s="12">
        <f t="shared" si="2"/>
        <v>0.5215860842506076</v>
      </c>
      <c r="I10" s="9">
        <v>306543</v>
      </c>
      <c r="J10" s="10">
        <f t="shared" si="3"/>
        <v>8.3266489545341812E-2</v>
      </c>
      <c r="K10" s="9">
        <v>48539</v>
      </c>
      <c r="L10" s="10">
        <f t="shared" si="4"/>
        <v>1.273121706805099E-2</v>
      </c>
      <c r="M10" s="9">
        <v>82589</v>
      </c>
      <c r="N10" s="10">
        <f t="shared" si="5"/>
        <v>2.1662137382996421E-2</v>
      </c>
    </row>
    <row r="11" spans="1:14" x14ac:dyDescent="0.3">
      <c r="A11" s="8" t="s">
        <v>13</v>
      </c>
      <c r="B11" s="9">
        <v>5042999</v>
      </c>
      <c r="C11" s="9">
        <v>1118852</v>
      </c>
      <c r="D11" s="10">
        <f t="shared" si="0"/>
        <v>0.22186242749601973</v>
      </c>
      <c r="E11" s="11">
        <v>2603454</v>
      </c>
      <c r="F11" s="12">
        <f t="shared" si="1"/>
        <v>0.6884448434477588</v>
      </c>
      <c r="G11" s="9">
        <v>983861</v>
      </c>
      <c r="H11" s="10">
        <f t="shared" si="2"/>
        <v>0.26016746680346781</v>
      </c>
      <c r="I11" s="9">
        <v>194330</v>
      </c>
      <c r="J11" s="10">
        <f t="shared" si="3"/>
        <v>5.1387689748773349E-2</v>
      </c>
      <c r="K11" s="9">
        <v>35605</v>
      </c>
      <c r="L11" s="10">
        <f t="shared" si="4"/>
        <v>9.0819003503437752E-3</v>
      </c>
      <c r="M11" s="9">
        <v>103185</v>
      </c>
      <c r="N11" s="10">
        <f t="shared" si="5"/>
        <v>2.6319783391383866E-2</v>
      </c>
    </row>
    <row r="12" spans="1:14" x14ac:dyDescent="0.3">
      <c r="A12" s="8" t="s">
        <v>14</v>
      </c>
      <c r="B12" s="9">
        <v>2469414</v>
      </c>
      <c r="C12" s="9">
        <v>577424</v>
      </c>
      <c r="D12" s="10">
        <f t="shared" si="0"/>
        <v>0.23383037433172404</v>
      </c>
      <c r="E12" s="9">
        <v>633748</v>
      </c>
      <c r="F12" s="10">
        <f t="shared" si="1"/>
        <v>0.34388850543277727</v>
      </c>
      <c r="G12" s="11">
        <v>1102866</v>
      </c>
      <c r="H12" s="12">
        <f t="shared" si="2"/>
        <v>0.59844439814031025</v>
      </c>
      <c r="I12" s="9">
        <v>106274</v>
      </c>
      <c r="J12" s="10">
        <f t="shared" si="3"/>
        <v>5.7667096426912541E-2</v>
      </c>
      <c r="K12" s="9">
        <v>18680</v>
      </c>
      <c r="L12" s="10">
        <f t="shared" si="4"/>
        <v>9.8722108890274708E-3</v>
      </c>
      <c r="M12" s="9">
        <v>30612</v>
      </c>
      <c r="N12" s="10">
        <f t="shared" si="5"/>
        <v>1.6178164868035812E-2</v>
      </c>
    </row>
    <row r="13" spans="1:14" x14ac:dyDescent="0.3">
      <c r="A13" s="8" t="s">
        <v>15</v>
      </c>
      <c r="B13" s="9">
        <v>1996510</v>
      </c>
      <c r="C13" s="9">
        <v>440783</v>
      </c>
      <c r="D13" s="10">
        <f t="shared" si="0"/>
        <v>0.22077675543823974</v>
      </c>
      <c r="E13" s="9">
        <v>588323</v>
      </c>
      <c r="F13" s="10">
        <f t="shared" si="1"/>
        <v>0.39039634662230449</v>
      </c>
      <c r="G13" s="11">
        <v>794206</v>
      </c>
      <c r="H13" s="12">
        <f t="shared" si="2"/>
        <v>0.5270151275158611</v>
      </c>
      <c r="I13" s="9">
        <v>124460</v>
      </c>
      <c r="J13" s="10">
        <f t="shared" si="3"/>
        <v>8.2588525861834419E-2</v>
      </c>
      <c r="K13" s="9">
        <v>17651</v>
      </c>
      <c r="L13" s="10">
        <f t="shared" si="4"/>
        <v>1.1350037842033143E-2</v>
      </c>
      <c r="M13" s="9">
        <v>30509</v>
      </c>
      <c r="N13" s="10">
        <f t="shared" si="5"/>
        <v>1.9618055890464513E-2</v>
      </c>
    </row>
    <row r="14" spans="1:14" x14ac:dyDescent="0.3">
      <c r="A14" s="8" t="s">
        <v>16</v>
      </c>
      <c r="B14" s="9">
        <v>16290870</v>
      </c>
      <c r="C14" s="9">
        <v>3628600</v>
      </c>
      <c r="D14" s="10">
        <f t="shared" si="0"/>
        <v>0.22273825768666744</v>
      </c>
      <c r="E14" s="11">
        <v>5802571</v>
      </c>
      <c r="F14" s="12">
        <f t="shared" si="1"/>
        <v>0.48287827380598208</v>
      </c>
      <c r="G14" s="9">
        <v>5239264</v>
      </c>
      <c r="H14" s="10">
        <f t="shared" si="2"/>
        <v>0.43600099961445105</v>
      </c>
      <c r="I14" s="9">
        <v>974798</v>
      </c>
      <c r="J14" s="10">
        <f t="shared" si="3"/>
        <v>8.1120726579566843E-2</v>
      </c>
      <c r="K14" s="9">
        <v>229425</v>
      </c>
      <c r="L14" s="10">
        <f t="shared" si="4"/>
        <v>1.8128871324957559E-2</v>
      </c>
      <c r="M14" s="9">
        <v>409170</v>
      </c>
      <c r="N14" s="10">
        <f t="shared" si="5"/>
        <v>3.2332092317894232E-2</v>
      </c>
    </row>
    <row r="15" spans="1:14" x14ac:dyDescent="0.3">
      <c r="A15" s="13" t="s">
        <v>17</v>
      </c>
      <c r="B15" s="9">
        <v>6082312</v>
      </c>
      <c r="C15" s="9">
        <v>1289969</v>
      </c>
      <c r="D15" s="10">
        <f t="shared" si="0"/>
        <v>0.21208530571927253</v>
      </c>
      <c r="E15" s="11">
        <v>2443730</v>
      </c>
      <c r="F15" s="12">
        <f t="shared" si="1"/>
        <v>0.52217167072370219</v>
      </c>
      <c r="G15" s="9">
        <v>1884673</v>
      </c>
      <c r="H15" s="10">
        <f t="shared" si="2"/>
        <v>0.40271341317488102</v>
      </c>
      <c r="I15" s="9">
        <v>351533</v>
      </c>
      <c r="J15" s="10">
        <f t="shared" si="3"/>
        <v>7.5114916101416768E-2</v>
      </c>
      <c r="K15" s="9">
        <v>40902</v>
      </c>
      <c r="L15" s="10">
        <f t="shared" si="4"/>
        <v>8.5402681095464467E-3</v>
      </c>
      <c r="M15" s="9">
        <v>68473</v>
      </c>
      <c r="N15" s="10">
        <f t="shared" si="5"/>
        <v>1.4297046067795556E-2</v>
      </c>
    </row>
    <row r="16" spans="1:14" x14ac:dyDescent="0.3">
      <c r="A16" s="8" t="s">
        <v>19</v>
      </c>
      <c r="B16" s="9">
        <v>3091684</v>
      </c>
      <c r="C16" s="9">
        <v>534574</v>
      </c>
      <c r="D16" s="10">
        <f t="shared" si="0"/>
        <v>0.17290706294692471</v>
      </c>
      <c r="E16" s="11">
        <v>1554868</v>
      </c>
      <c r="F16" s="12">
        <f t="shared" si="1"/>
        <v>0.64205958818807374</v>
      </c>
      <c r="G16" s="9">
        <v>717416</v>
      </c>
      <c r="H16" s="10">
        <f t="shared" si="2"/>
        <v>0.29624625467855481</v>
      </c>
      <c r="I16" s="9">
        <v>149404</v>
      </c>
      <c r="J16" s="10">
        <f t="shared" si="3"/>
        <v>6.1694157133371431E-2</v>
      </c>
      <c r="K16" s="9">
        <v>41922</v>
      </c>
      <c r="L16" s="10">
        <f t="shared" si="4"/>
        <v>1.6391923452743894E-2</v>
      </c>
      <c r="M16" s="9">
        <v>93869</v>
      </c>
      <c r="N16" s="10">
        <f t="shared" si="5"/>
        <v>3.6703722689414069E-2</v>
      </c>
    </row>
    <row r="17" spans="1:14" x14ac:dyDescent="0.3">
      <c r="A17" s="8" t="s">
        <v>20</v>
      </c>
      <c r="B17" s="9">
        <v>8475632</v>
      </c>
      <c r="C17" s="9">
        <v>1651892</v>
      </c>
      <c r="D17" s="10">
        <f t="shared" si="0"/>
        <v>0.19489897626513281</v>
      </c>
      <c r="E17" s="9">
        <v>2363492</v>
      </c>
      <c r="F17" s="10">
        <f t="shared" si="1"/>
        <v>0.35991730477903577</v>
      </c>
      <c r="G17" s="11">
        <v>3628612</v>
      </c>
      <c r="H17" s="12">
        <f t="shared" si="2"/>
        <v>0.5525723172022019</v>
      </c>
      <c r="I17" s="9">
        <v>574660</v>
      </c>
      <c r="J17" s="10">
        <f t="shared" si="3"/>
        <v>8.7510378018762366E-2</v>
      </c>
      <c r="K17" s="9">
        <v>108894</v>
      </c>
      <c r="L17" s="10">
        <f t="shared" si="4"/>
        <v>1.5946886473439503E-2</v>
      </c>
      <c r="M17" s="9">
        <v>152885</v>
      </c>
      <c r="N17" s="10">
        <f t="shared" si="5"/>
        <v>2.2389109946294547E-2</v>
      </c>
    </row>
    <row r="18" spans="1:14" x14ac:dyDescent="0.3">
      <c r="A18" s="8" t="s">
        <v>21</v>
      </c>
      <c r="B18" s="9">
        <v>7018098</v>
      </c>
      <c r="C18" s="9">
        <v>1277050</v>
      </c>
      <c r="D18" s="10">
        <f t="shared" si="0"/>
        <v>0.18196525611355099</v>
      </c>
      <c r="E18" s="11">
        <v>3558322</v>
      </c>
      <c r="F18" s="12">
        <f t="shared" si="1"/>
        <v>0.65266253228855642</v>
      </c>
      <c r="G18" s="9">
        <v>1630938</v>
      </c>
      <c r="H18" s="10">
        <f t="shared" si="2"/>
        <v>0.29914440713505791</v>
      </c>
      <c r="I18" s="9">
        <v>262749</v>
      </c>
      <c r="J18" s="10">
        <f t="shared" si="3"/>
        <v>4.8193060576385699E-2</v>
      </c>
      <c r="K18" s="9">
        <v>90092</v>
      </c>
      <c r="L18" s="10">
        <f t="shared" si="4"/>
        <v>1.5699925989448922E-2</v>
      </c>
      <c r="M18" s="9">
        <v>196270</v>
      </c>
      <c r="N18" s="10">
        <f t="shared" si="5"/>
        <v>3.4203086555400476E-2</v>
      </c>
    </row>
    <row r="19" spans="1:14" x14ac:dyDescent="0.3">
      <c r="A19" s="8" t="s">
        <v>23</v>
      </c>
      <c r="B19" s="9">
        <v>2573810</v>
      </c>
      <c r="C19" s="9">
        <v>454788</v>
      </c>
      <c r="D19" s="10">
        <f t="shared" si="0"/>
        <v>0.1766983576876304</v>
      </c>
      <c r="E19" s="11">
        <v>1518008</v>
      </c>
      <c r="F19" s="12">
        <f t="shared" si="1"/>
        <v>0.74252513957735966</v>
      </c>
      <c r="G19" s="9">
        <v>406897</v>
      </c>
      <c r="H19" s="10">
        <f t="shared" si="2"/>
        <v>0.19903139622360944</v>
      </c>
      <c r="I19" s="9">
        <v>119481</v>
      </c>
      <c r="J19" s="10">
        <f t="shared" si="3"/>
        <v>5.844346419903091E-2</v>
      </c>
      <c r="K19" s="9">
        <v>19477</v>
      </c>
      <c r="L19" s="10">
        <f t="shared" si="4"/>
        <v>9.206175894349005E-3</v>
      </c>
      <c r="M19" s="9">
        <v>51782</v>
      </c>
      <c r="N19" s="10">
        <f t="shared" si="5"/>
        <v>2.447575089393542E-2</v>
      </c>
    </row>
    <row r="20" spans="1:14" x14ac:dyDescent="0.3">
      <c r="A20" s="8" t="s">
        <v>25</v>
      </c>
      <c r="B20" s="9">
        <v>12827296</v>
      </c>
      <c r="C20" s="9">
        <v>2916893</v>
      </c>
      <c r="D20" s="10">
        <f t="shared" si="0"/>
        <v>0.22739734079575305</v>
      </c>
      <c r="E20" s="9">
        <v>3847143</v>
      </c>
      <c r="F20" s="10">
        <f t="shared" si="1"/>
        <v>0.40681763795041326</v>
      </c>
      <c r="G20" s="11">
        <v>4831246</v>
      </c>
      <c r="H20" s="12">
        <f t="shared" si="2"/>
        <v>0.51088199374896703</v>
      </c>
      <c r="I20" s="9">
        <v>778288</v>
      </c>
      <c r="J20" s="10">
        <f t="shared" si="3"/>
        <v>8.2300368300619764E-2</v>
      </c>
      <c r="K20" s="9">
        <v>159773</v>
      </c>
      <c r="L20" s="10">
        <f t="shared" si="4"/>
        <v>1.6123275297561534E-2</v>
      </c>
      <c r="M20" s="9">
        <v>293013</v>
      </c>
      <c r="N20" s="10">
        <f t="shared" si="5"/>
        <v>2.9569008936205725E-2</v>
      </c>
    </row>
    <row r="21" spans="1:14" x14ac:dyDescent="0.3">
      <c r="A21" s="8" t="s">
        <v>26</v>
      </c>
      <c r="B21" s="9">
        <v>2554727</v>
      </c>
      <c r="C21" s="9">
        <v>464112</v>
      </c>
      <c r="D21" s="10">
        <f t="shared" si="0"/>
        <v>0.18166794338494877</v>
      </c>
      <c r="E21" s="11">
        <v>1264179</v>
      </c>
      <c r="F21" s="12">
        <f t="shared" si="1"/>
        <v>0.62980205892199537</v>
      </c>
      <c r="G21" s="9">
        <v>622731</v>
      </c>
      <c r="H21" s="10">
        <f t="shared" si="2"/>
        <v>0.31023871299440431</v>
      </c>
      <c r="I21" s="9">
        <v>120354</v>
      </c>
      <c r="J21" s="10">
        <f t="shared" si="3"/>
        <v>5.9959228083600366E-2</v>
      </c>
      <c r="K21" s="9">
        <v>26151</v>
      </c>
      <c r="L21" s="10">
        <f t="shared" si="4"/>
        <v>1.2508825200755381E-2</v>
      </c>
      <c r="M21" s="9">
        <v>57189</v>
      </c>
      <c r="N21" s="10">
        <f t="shared" si="5"/>
        <v>2.7355252357691845E-2</v>
      </c>
    </row>
    <row r="22" spans="1:14" x14ac:dyDescent="0.3">
      <c r="A22" s="8" t="s">
        <v>27</v>
      </c>
      <c r="B22" s="9">
        <v>8593469</v>
      </c>
      <c r="C22" s="9">
        <v>1699416</v>
      </c>
      <c r="D22" s="10">
        <f t="shared" si="0"/>
        <v>0.19775669173880769</v>
      </c>
      <c r="E22" s="9">
        <v>2806672</v>
      </c>
      <c r="F22" s="10">
        <f t="shared" si="1"/>
        <v>0.42283471874212836</v>
      </c>
      <c r="G22" s="11">
        <v>3245023</v>
      </c>
      <c r="H22" s="12">
        <f t="shared" si="2"/>
        <v>0.48887379341680737</v>
      </c>
      <c r="I22" s="9">
        <v>586057</v>
      </c>
      <c r="J22" s="10">
        <f t="shared" si="3"/>
        <v>8.8291487841064262E-2</v>
      </c>
      <c r="K22" s="9">
        <v>129345</v>
      </c>
      <c r="L22" s="10">
        <f t="shared" si="4"/>
        <v>1.8772815621908572E-2</v>
      </c>
      <c r="M22" s="9">
        <v>122919</v>
      </c>
      <c r="N22" s="10">
        <f t="shared" si="5"/>
        <v>1.7840161764500984E-2</v>
      </c>
    </row>
    <row r="23" spans="1:14" x14ac:dyDescent="0.3">
      <c r="A23" s="8" t="s">
        <v>28</v>
      </c>
      <c r="B23" s="9">
        <v>1230987</v>
      </c>
      <c r="C23" s="9">
        <v>303171</v>
      </c>
      <c r="D23" s="10">
        <f t="shared" si="0"/>
        <v>0.24628286082631254</v>
      </c>
      <c r="E23" s="9">
        <v>261749</v>
      </c>
      <c r="F23" s="10">
        <f t="shared" si="1"/>
        <v>0.28979058606010616</v>
      </c>
      <c r="G23" s="11">
        <v>581306</v>
      </c>
      <c r="H23" s="12">
        <f t="shared" si="2"/>
        <v>0.64358223496653699</v>
      </c>
      <c r="I23" s="9">
        <v>60180</v>
      </c>
      <c r="J23" s="10">
        <f t="shared" si="3"/>
        <v>6.6627178973356876E-2</v>
      </c>
      <c r="K23" s="9">
        <v>9350</v>
      </c>
      <c r="L23" s="10">
        <f t="shared" si="4"/>
        <v>1.0088182584236325E-2</v>
      </c>
      <c r="M23" s="9">
        <v>14242</v>
      </c>
      <c r="N23" s="10">
        <f t="shared" si="5"/>
        <v>1.5366406028309491E-2</v>
      </c>
    </row>
    <row r="24" spans="1:14" x14ac:dyDescent="0.3">
      <c r="A24" s="8" t="s">
        <v>29</v>
      </c>
      <c r="B24" s="9">
        <v>366240</v>
      </c>
      <c r="C24" s="9">
        <v>61228</v>
      </c>
      <c r="D24" s="10">
        <f t="shared" si="0"/>
        <v>0.16717999126256006</v>
      </c>
      <c r="E24" s="9">
        <v>68760</v>
      </c>
      <c r="F24" s="10">
        <f t="shared" si="1"/>
        <v>0.23045289557561274</v>
      </c>
      <c r="G24" s="11">
        <v>207587</v>
      </c>
      <c r="H24" s="12">
        <f t="shared" si="2"/>
        <v>0.69573916861336127</v>
      </c>
      <c r="I24" s="9">
        <v>22022</v>
      </c>
      <c r="J24" s="10">
        <f t="shared" si="3"/>
        <v>7.3807935811025946E-2</v>
      </c>
      <c r="K24" s="9">
        <v>2255</v>
      </c>
      <c r="L24" s="10">
        <f t="shared" si="4"/>
        <v>7.3836622964990632E-3</v>
      </c>
      <c r="M24" s="9">
        <v>4780</v>
      </c>
      <c r="N24" s="10">
        <f t="shared" si="5"/>
        <v>1.5651399457767418E-2</v>
      </c>
    </row>
    <row r="25" spans="1:14" x14ac:dyDescent="0.3">
      <c r="A25" s="8" t="s">
        <v>30</v>
      </c>
      <c r="B25" s="9">
        <v>5489658</v>
      </c>
      <c r="C25" s="9">
        <v>1014004</v>
      </c>
      <c r="D25" s="10">
        <f t="shared" si="0"/>
        <v>0.18471168877915528</v>
      </c>
      <c r="E25" s="9">
        <v>1279216</v>
      </c>
      <c r="F25" s="10">
        <f t="shared" si="1"/>
        <v>0.29536382494139901</v>
      </c>
      <c r="G25" s="11">
        <v>2694406</v>
      </c>
      <c r="H25" s="12">
        <f t="shared" si="2"/>
        <v>0.62212328653257554</v>
      </c>
      <c r="I25" s="9">
        <v>357362</v>
      </c>
      <c r="J25" s="10">
        <f t="shared" si="3"/>
        <v>8.2512888526025494E-2</v>
      </c>
      <c r="K25" s="9">
        <v>66871</v>
      </c>
      <c r="L25" s="10">
        <f t="shared" si="4"/>
        <v>1.4901701937437409E-2</v>
      </c>
      <c r="M25" s="9">
        <v>89619</v>
      </c>
      <c r="N25" s="10">
        <f t="shared" si="5"/>
        <v>1.9970923508414756E-2</v>
      </c>
    </row>
    <row r="26" spans="1:14" x14ac:dyDescent="0.3">
      <c r="A26" s="8" t="s">
        <v>31</v>
      </c>
      <c r="B26" s="9">
        <v>34667793</v>
      </c>
      <c r="C26" s="9">
        <v>7495213</v>
      </c>
      <c r="D26" s="10">
        <f t="shared" si="0"/>
        <v>0.21620104285265579</v>
      </c>
      <c r="E26" s="9">
        <v>10490032</v>
      </c>
      <c r="F26" s="10">
        <f t="shared" si="1"/>
        <v>0.40886714368467453</v>
      </c>
      <c r="G26" s="11">
        <v>12239989</v>
      </c>
      <c r="H26" s="12">
        <f t="shared" si="2"/>
        <v>0.47707474497330754</v>
      </c>
      <c r="I26" s="9">
        <v>2926313</v>
      </c>
      <c r="J26" s="10">
        <f t="shared" si="3"/>
        <v>0.11405811134201792</v>
      </c>
      <c r="K26" s="9">
        <v>571257</v>
      </c>
      <c r="L26" s="10">
        <f t="shared" si="4"/>
        <v>2.1010040782334084E-2</v>
      </c>
      <c r="M26" s="9">
        <v>962123</v>
      </c>
      <c r="N26" s="10">
        <f t="shared" si="5"/>
        <v>3.5385550579899443E-2</v>
      </c>
    </row>
    <row r="27" spans="1:14" x14ac:dyDescent="0.3">
      <c r="A27" s="8" t="s">
        <v>33</v>
      </c>
      <c r="B27" s="9">
        <v>1671801</v>
      </c>
      <c r="C27" s="9">
        <v>306652</v>
      </c>
      <c r="D27" s="10">
        <f t="shared" si="0"/>
        <v>0.18342613744099925</v>
      </c>
      <c r="E27" s="11">
        <v>828716</v>
      </c>
      <c r="F27" s="12">
        <f t="shared" si="1"/>
        <v>0.63824366620662465</v>
      </c>
      <c r="G27" s="9">
        <v>378610</v>
      </c>
      <c r="H27" s="10">
        <f t="shared" si="2"/>
        <v>0.29159016413643535</v>
      </c>
      <c r="I27" s="9">
        <v>91106</v>
      </c>
      <c r="J27" s="10">
        <f t="shared" si="3"/>
        <v>7.0166169656940058E-2</v>
      </c>
      <c r="K27" s="9">
        <v>20224</v>
      </c>
      <c r="L27" s="10">
        <f t="shared" si="4"/>
        <v>1.4819113608319338E-2</v>
      </c>
      <c r="M27" s="9">
        <v>46068</v>
      </c>
      <c r="N27" s="10">
        <f t="shared" si="5"/>
        <v>3.375627599426697E-2</v>
      </c>
    </row>
    <row r="28" spans="1:14" x14ac:dyDescent="0.3">
      <c r="A28" s="8" t="s">
        <v>34</v>
      </c>
      <c r="B28" s="9">
        <v>1094003</v>
      </c>
      <c r="C28" s="9">
        <v>202897</v>
      </c>
      <c r="D28" s="10">
        <f t="shared" si="0"/>
        <v>0.18546292834663158</v>
      </c>
      <c r="E28" s="11">
        <v>434303</v>
      </c>
      <c r="F28" s="12">
        <f t="shared" si="1"/>
        <v>0.50395339014518581</v>
      </c>
      <c r="G28" s="9">
        <v>379194</v>
      </c>
      <c r="H28" s="10">
        <f t="shared" si="2"/>
        <v>0.44000640525788126</v>
      </c>
      <c r="I28" s="9">
        <v>48295</v>
      </c>
      <c r="J28" s="10">
        <f t="shared" si="3"/>
        <v>5.6040204596932902E-2</v>
      </c>
      <c r="K28" s="9">
        <v>6795</v>
      </c>
      <c r="L28" s="10">
        <f t="shared" si="4"/>
        <v>7.6224214733540564E-3</v>
      </c>
      <c r="M28" s="9">
        <v>22862</v>
      </c>
      <c r="N28" s="10">
        <f t="shared" si="5"/>
        <v>2.5645886640738844E-2</v>
      </c>
    </row>
    <row r="29" spans="1:14" ht="15" customHeight="1" x14ac:dyDescent="0.3">
      <c r="A29" s="17" t="s">
        <v>72</v>
      </c>
      <c r="B29" s="9">
        <v>697078</v>
      </c>
      <c r="C29" s="9">
        <v>390750</v>
      </c>
      <c r="D29" s="10">
        <f t="shared" si="0"/>
        <v>0.5605541990996703</v>
      </c>
      <c r="E29" s="11">
        <v>138933</v>
      </c>
      <c r="F29" s="12">
        <f t="shared" si="1"/>
        <v>0.47171886936592816</v>
      </c>
      <c r="G29" s="9">
        <v>122548</v>
      </c>
      <c r="H29" s="10">
        <f t="shared" si="2"/>
        <v>0.41608691961633137</v>
      </c>
      <c r="I29" s="9">
        <v>33044</v>
      </c>
      <c r="J29" s="10">
        <f t="shared" si="3"/>
        <v>0.11219421101774044</v>
      </c>
      <c r="K29" s="9">
        <v>4857</v>
      </c>
      <c r="L29" s="10">
        <f t="shared" si="4"/>
        <v>1.5975292074518473E-2</v>
      </c>
      <c r="M29" s="9">
        <v>4650</v>
      </c>
      <c r="N29" s="10">
        <f t="shared" si="5"/>
        <v>1.5294442690243132E-2</v>
      </c>
    </row>
    <row r="30" spans="1:14" ht="27" customHeight="1" x14ac:dyDescent="0.3">
      <c r="A30" s="18" t="s">
        <v>73</v>
      </c>
      <c r="B30" s="19">
        <v>156453354</v>
      </c>
      <c r="C30" s="19">
        <v>32770982</v>
      </c>
      <c r="D30" s="20">
        <f t="shared" si="0"/>
        <v>0.2094616776320436</v>
      </c>
      <c r="E30" s="19">
        <v>57259504</v>
      </c>
      <c r="F30" s="20">
        <f t="shared" si="1"/>
        <v>0.48430719859868737</v>
      </c>
      <c r="G30" s="19">
        <v>51072345</v>
      </c>
      <c r="H30" s="20">
        <f t="shared" si="2"/>
        <v>0.43197552554446994</v>
      </c>
      <c r="I30" s="19">
        <v>9897870</v>
      </c>
      <c r="J30" s="20">
        <f t="shared" si="3"/>
        <v>8.3717275856842729E-2</v>
      </c>
      <c r="K30" s="19">
        <v>1964779</v>
      </c>
      <c r="L30" s="20">
        <f t="shared" si="4"/>
        <v>1.5885683369655946E-2</v>
      </c>
      <c r="M30" s="19">
        <v>3487874</v>
      </c>
      <c r="N30" s="20">
        <f t="shared" si="5"/>
        <v>2.8200251528164418E-2</v>
      </c>
    </row>
  </sheetData>
  <hyperlinks>
    <hyperlink ref="E1" r:id="rId1" xr:uid="{035D781A-F8CD-46B8-92B1-47DB93E854F5}"/>
    <hyperlink ref="G1" r:id="rId2" xr:uid="{3823871B-B75D-4873-A9C5-BE557963CFC2}"/>
  </hyperlink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2"/>
  <sheetViews>
    <sheetView zoomScaleNormal="100" workbookViewId="0"/>
  </sheetViews>
  <sheetFormatPr defaultColWidth="8.6640625" defaultRowHeight="14.4" x14ac:dyDescent="0.3"/>
  <cols>
    <col min="1" max="1" width="4" customWidth="1"/>
    <col min="2" max="2" width="55" customWidth="1"/>
    <col min="3" max="3" width="70" customWidth="1"/>
    <col min="4" max="4" width="100" customWidth="1"/>
  </cols>
  <sheetData>
    <row r="1" spans="1:4" x14ac:dyDescent="0.3">
      <c r="A1" s="1" t="s">
        <v>37</v>
      </c>
      <c r="B1" s="1" t="s">
        <v>35</v>
      </c>
      <c r="C1" s="1" t="s">
        <v>38</v>
      </c>
      <c r="D1" s="1" t="s">
        <v>39</v>
      </c>
    </row>
    <row r="2" spans="1:4" ht="26.4" x14ac:dyDescent="0.3">
      <c r="A2" s="2">
        <v>1</v>
      </c>
      <c r="B2" s="2" t="s">
        <v>40</v>
      </c>
      <c r="C2" s="2" t="s">
        <v>41</v>
      </c>
      <c r="D2" s="2" t="s">
        <v>4</v>
      </c>
    </row>
    <row r="3" spans="1:4" ht="26.4" x14ac:dyDescent="0.3">
      <c r="A3" s="2">
        <v>2</v>
      </c>
      <c r="B3" s="2" t="s">
        <v>42</v>
      </c>
      <c r="C3" s="2" t="s">
        <v>43</v>
      </c>
      <c r="D3" s="2" t="s">
        <v>2</v>
      </c>
    </row>
    <row r="4" spans="1:4" x14ac:dyDescent="0.3">
      <c r="A4" s="2">
        <v>3</v>
      </c>
      <c r="B4" s="2" t="s">
        <v>44</v>
      </c>
      <c r="C4" s="2" t="s">
        <v>45</v>
      </c>
      <c r="D4" s="2" t="s">
        <v>32</v>
      </c>
    </row>
    <row r="5" spans="1:4" ht="26.4" x14ac:dyDescent="0.3">
      <c r="A5" s="2">
        <v>4</v>
      </c>
      <c r="B5" s="2" t="s">
        <v>46</v>
      </c>
      <c r="C5" s="2" t="s">
        <v>45</v>
      </c>
      <c r="D5" s="2" t="s">
        <v>22</v>
      </c>
    </row>
    <row r="6" spans="1:4" ht="39.6" x14ac:dyDescent="0.3">
      <c r="A6" s="2">
        <v>5</v>
      </c>
      <c r="B6" s="2" t="s">
        <v>47</v>
      </c>
      <c r="C6" s="2" t="s">
        <v>48</v>
      </c>
      <c r="D6" s="2" t="s">
        <v>18</v>
      </c>
    </row>
    <row r="7" spans="1:4" ht="39.6" x14ac:dyDescent="0.3">
      <c r="A7" s="2">
        <v>6</v>
      </c>
      <c r="B7" s="2" t="s">
        <v>49</v>
      </c>
      <c r="C7" s="2" t="s">
        <v>50</v>
      </c>
      <c r="D7" s="2" t="s">
        <v>9</v>
      </c>
    </row>
    <row r="8" spans="1:4" ht="26.4" x14ac:dyDescent="0.3">
      <c r="A8" s="2">
        <v>7</v>
      </c>
      <c r="B8" s="2" t="s">
        <v>51</v>
      </c>
      <c r="C8" s="2" t="s">
        <v>52</v>
      </c>
      <c r="D8" s="2" t="s">
        <v>24</v>
      </c>
    </row>
    <row r="9" spans="1:4" x14ac:dyDescent="0.3">
      <c r="A9" s="2">
        <v>8</v>
      </c>
      <c r="B9" s="2" t="s">
        <v>53</v>
      </c>
      <c r="C9" s="2" t="s">
        <v>54</v>
      </c>
      <c r="D9" s="2" t="s">
        <v>36</v>
      </c>
    </row>
    <row r="10" spans="1:4" ht="26.4" x14ac:dyDescent="0.3">
      <c r="A10" s="2">
        <v>9</v>
      </c>
      <c r="B10" s="2" t="s">
        <v>55</v>
      </c>
      <c r="C10" s="2" t="s">
        <v>56</v>
      </c>
      <c r="D10" s="2" t="s">
        <v>57</v>
      </c>
    </row>
    <row r="12" spans="1:4" x14ac:dyDescent="0.3">
      <c r="A12" s="3" t="s">
        <v>58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1st Round by State</vt:lpstr>
      <vt:lpstr>2018</vt:lpstr>
      <vt:lpstr>2022</vt:lpstr>
      <vt:lpstr>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DANIEL DA SILVEIRA FERREIRA DA SILVA</cp:lastModifiedBy>
  <cp:revision>0</cp:revision>
  <dcterms:created xsi:type="dcterms:W3CDTF">2026-10-02T07:47:18Z</dcterms:created>
  <dcterms:modified xsi:type="dcterms:W3CDTF">2026-10-02T20:29:04Z</dcterms:modified>
  <dc:language>en-US</dc:language>
</cp:coreProperties>
</file>