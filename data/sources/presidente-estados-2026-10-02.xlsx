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st Round by State" sheetId="1" state="visible" r:id="rId3"/>
    <sheet name="Late-Sep Lula vs Flávio" sheetId="2" state="visible" r:id="rId4"/>
    <sheet name="Sources" sheetId="3" state="visible" r:id="rId5"/>
  </sheets>
  <definedNames>
    <definedName function="false" hidden="true" localSheetId="0" name="_xlnm._FilterDatabase" vbProcedure="false">'1st Round by State'!$A$1:$Z$28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<sst xmlns="http://schemas.openxmlformats.org/spreadsheetml/2006/main" count="399" uniqueCount="149">
  <si>
    <t xml:space="preserve">UF</t>
  </si>
  <si>
    <t xml:space="preserve">State</t>
  </si>
  <si>
    <t xml:space="preserve">Region</t>
  </si>
  <si>
    <t xml:space="preserve">Pollster</t>
  </si>
  <si>
    <t xml:space="preserve">Fieldwork</t>
  </si>
  <si>
    <t xml:space="preserve">Sample / margin</t>
  </si>
  <si>
    <t xml:space="preserve">Poll vintage</t>
  </si>
  <si>
    <t xml:space="preserve">Lula (PT)</t>
  </si>
  <si>
    <t xml:space="preserve">Flávio Bolsonaro (PL)</t>
  </si>
  <si>
    <t xml:space="preserve">Ronaldo Caiado (PSD)</t>
  </si>
  <si>
    <t xml:space="preserve">Romeu Zema (Novo)</t>
  </si>
  <si>
    <t xml:space="preserve">Renan Santos (Missão)</t>
  </si>
  <si>
    <t xml:space="preserve">Augusto Cury (Avante)</t>
  </si>
  <si>
    <t xml:space="preserve">Samara Martins (UP)</t>
  </si>
  <si>
    <t xml:space="preserve">Rui Costa Pimenta (PCO)</t>
  </si>
  <si>
    <t xml:space="preserve">Clariana Barão (DC)</t>
  </si>
  <si>
    <t xml:space="preserve">Wilson Grassi (Democrata)</t>
  </si>
  <si>
    <t xml:space="preserve">Edmilson Costa (PCB)</t>
  </si>
  <si>
    <t xml:space="preserve">Hertz Dias (PSTU)</t>
  </si>
  <si>
    <t xml:space="preserve">Leonardo Avalanche (PRTB)</t>
  </si>
  <si>
    <t xml:space="preserve">Undecided</t>
  </si>
  <si>
    <t xml:space="preserve">Blank / null / won't vote</t>
  </si>
  <si>
    <t xml:space="preserve">Leader (formula)</t>
  </si>
  <si>
    <t xml:space="preserve">Lead over 2nd (pp, formula)</t>
  </si>
  <si>
    <t xml:space="preserve">Total reported % (formula)</t>
  </si>
  <si>
    <t xml:space="preserve">Source URL(s)</t>
  </si>
  <si>
    <t xml:space="preserve">AC</t>
  </si>
  <si>
    <t xml:space="preserve">Acre</t>
  </si>
  <si>
    <t xml:space="preserve">North</t>
  </si>
  <si>
    <t xml:space="preserve">Quaest (for TV Globo / affiliates)</t>
  </si>
  <si>
    <t xml:space="preserve">23–26 Aug 2026</t>
  </si>
  <si>
    <t xml:space="preserve">804; ±3 pp</t>
  </si>
  <si>
    <t xml:space="preserve">Aug round</t>
  </si>
  <si>
    <t xml:space="preserve">https://www.cartacapital.com.br/politica/como-esta-a-disputa-pela-presidencia-na-bahia-goias-e-outros-4-estados-segundo-a-quaest/</t>
  </si>
  <si>
    <t xml:space="preserve">AL</t>
  </si>
  <si>
    <t xml:space="preserve">Alagoas</t>
  </si>
  <si>
    <t xml:space="preserve">Northeast</t>
  </si>
  <si>
    <t xml:space="preserve">Released 24–25 Aug 2026</t>
  </si>
  <si>
    <t xml:space="preserve">±3 pp</t>
  </si>
  <si>
    <t xml:space="preserve">https://www.brasildefato.com.br/2026/08/26/onde-lula-e-flavio-bolsonaro-lideram-disputa-para-presidente-veja-os-numeros-da-quaest-em-17-estados-e-no-df/</t>
  </si>
  <si>
    <t xml:space="preserve">AP</t>
  </si>
  <si>
    <t xml:space="preserve">Amapá</t>
  </si>
  <si>
    <t xml:space="preserve">AM</t>
  </si>
  <si>
    <t xml:space="preserve">Amazonas</t>
  </si>
  <si>
    <t xml:space="preserve">BA</t>
  </si>
  <si>
    <t xml:space="preserve">Bahia</t>
  </si>
  <si>
    <t xml:space="preserve">900; ±3 pp</t>
  </si>
  <si>
    <t xml:space="preserve">CE</t>
  </si>
  <si>
    <t xml:space="preserve">Ceará</t>
  </si>
  <si>
    <t xml:space="preserve">19–22 Sep 2026</t>
  </si>
  <si>
    <t xml:space="preserve">Late-Sep round</t>
  </si>
  <si>
    <t xml:space="preserve">https://diariodonordeste.verdesmares.com.br/pontopoder/pesquisa-quaest-para-presidente-no-ceara-lula-tem-55-flavio-bolsonaro-tem-23-1.3793471 ; https://www.resenhapolitika.com.br/2026/09/23/pesquisa-quaest-para-presidente-no-ceara-lula-tem-55-flavio-bolsonaro-tem-23/</t>
  </si>
  <si>
    <t xml:space="preserve">DF</t>
  </si>
  <si>
    <t xml:space="preserve">Distrito Federal</t>
  </si>
  <si>
    <t xml:space="preserve">Central-West</t>
  </si>
  <si>
    <t xml:space="preserve">ES</t>
  </si>
  <si>
    <t xml:space="preserve">Espírito Santo</t>
  </si>
  <si>
    <t xml:space="preserve">Southeast</t>
  </si>
  <si>
    <t xml:space="preserve">GO</t>
  </si>
  <si>
    <t xml:space="preserve">Goiás</t>
  </si>
  <si>
    <t xml:space="preserve">MA</t>
  </si>
  <si>
    <t xml:space="preserve">Maranhão</t>
  </si>
  <si>
    <t xml:space="preserve">MT</t>
  </si>
  <si>
    <t xml:space="preserve">Mato Grosso</t>
  </si>
  <si>
    <t xml:space="preserve">MS</t>
  </si>
  <si>
    <t xml:space="preserve">Mato Grosso do Sul</t>
  </si>
  <si>
    <t xml:space="preserve">MG</t>
  </si>
  <si>
    <t xml:space="preserve">Minas Gerais</t>
  </si>
  <si>
    <t xml:space="preserve">PA</t>
  </si>
  <si>
    <t xml:space="preserve">Pará</t>
  </si>
  <si>
    <t xml:space="preserve">22–25 Sep 2026</t>
  </si>
  <si>
    <t xml:space="preserve">https://www.cartacapital.com.br/politica/quaest-lula-vai-a-40-no-para-contra-35-de-flavio-bolsonaro/ ; https://sempauta.com.br/noticia/49986/quaest-no-para-lula-40-flavio-bolsonaro-35-augusto-cury-7-renan-santos-2-ronaldo-caiado-2.html</t>
  </si>
  <si>
    <t xml:space="preserve">PB</t>
  </si>
  <si>
    <t xml:space="preserve">Paraíba</t>
  </si>
  <si>
    <t xml:space="preserve">PR</t>
  </si>
  <si>
    <t xml:space="preserve">Paraná</t>
  </si>
  <si>
    <t xml:space="preserve">South</t>
  </si>
  <si>
    <t xml:space="preserve">PE</t>
  </si>
  <si>
    <t xml:space="preserve">Pernambuco</t>
  </si>
  <si>
    <t xml:space="preserve">25–28 Sep 2026</t>
  </si>
  <si>
    <t xml:space="preserve">1,302; ±3 pp</t>
  </si>
  <si>
    <t xml:space="preserve">https://www.diariodepernambuco.com.br/politica/2026/09/11725294-quaest-em-pernambuco-lula-tem-58-contra-20-de-flavio-bolsonaro-no-1-turno.html</t>
  </si>
  <si>
    <t xml:space="preserve">PI</t>
  </si>
  <si>
    <t xml:space="preserve">Piauí</t>
  </si>
  <si>
    <t xml:space="preserve">AtlasIntel (online; Quaest did not poll PI)</t>
  </si>
  <si>
    <t xml:space="preserve">23–28 Sep 2026</t>
  </si>
  <si>
    <t xml:space="preserve">1,218; ±2 pp</t>
  </si>
  <si>
    <t xml:space="preserve">Late-Sep, different pollster</t>
  </si>
  <si>
    <t xml:space="preserve">https://www.poder360.com.br/poder-eleicoes-2026/lula-tem-70-e-flavio-26-no-2o-turno-no-pi-diz-atlasintel/ ; https://www.brasil247.com/nordeste/atlas-lula-tem-685-e-flavio-bolsonaro-246-no-piaui/</t>
  </si>
  <si>
    <t xml:space="preserve">RJ</t>
  </si>
  <si>
    <t xml:space="preserve">Rio de Janeiro</t>
  </si>
  <si>
    <t xml:space="preserve">RN</t>
  </si>
  <si>
    <t xml:space="preserve">Rio Grande do Norte</t>
  </si>
  <si>
    <t xml:space="preserve">RS</t>
  </si>
  <si>
    <t xml:space="preserve">Rio Grande do Sul</t>
  </si>
  <si>
    <t xml:space="preserve">RO</t>
  </si>
  <si>
    <t xml:space="preserve">Rondônia</t>
  </si>
  <si>
    <t xml:space="preserve">RR</t>
  </si>
  <si>
    <t xml:space="preserve">Roraima</t>
  </si>
  <si>
    <t xml:space="preserve">SC</t>
  </si>
  <si>
    <t xml:space="preserve">Santa Catarina</t>
  </si>
  <si>
    <t xml:space="preserve">SP</t>
  </si>
  <si>
    <t xml:space="preserve">São Paulo</t>
  </si>
  <si>
    <t xml:space="preserve">1,800; ±2 pp</t>
  </si>
  <si>
    <t xml:space="preserve">https://revistaforum.com.br/politica/nova-quaest-em-sp-lula-flavio/</t>
  </si>
  <si>
    <t xml:space="preserve">SE</t>
  </si>
  <si>
    <t xml:space="preserve">Sergipe</t>
  </si>
  <si>
    <t xml:space="preserve">TO</t>
  </si>
  <si>
    <t xml:space="preserve">Tocantins</t>
  </si>
  <si>
    <t xml:space="preserve">Notes:</t>
  </si>
  <si>
    <t xml:space="preserve">• Highlighted green = highest-scoring candidate in that state. Blank cell = candidate not reported in the source article (below its published cut-off); 0.0% = source explicitly lists 0%.</t>
  </si>
  <si>
    <t xml:space="preserve">• 'Poll vintage' matters: 'Aug round' rows are Quaest's Aug 24–27 series; 'Late-Sep round' rows are the final-stretch Quaest series. For the latest Lula/Flávio numbers in every state, see the 'Late-Sep Lula vs Flávio' sheet.</t>
  </si>
  <si>
    <t xml:space="preserve">• Aug rows use 'Scenario 1' (without Pablo Marçal, who is ineligible). PRTB is shown as Leonardo Avalanche, who replaced him.</t>
  </si>
  <si>
    <t xml:space="preserve">• Piauí is from AtlasIntel (online) because Quaest did not poll it; Quaest's earlier Piauí/Sergipe/Tocantins data is not in its latest round.</t>
  </si>
  <si>
    <t xml:space="preserve">• Polls are snapshots of stated intention, not forecasts. First round is 4 Oct 2026.</t>
  </si>
  <si>
    <t xml:space="preserve">Lead (pp, formula)</t>
  </si>
  <si>
    <t xml:space="preserve">Poll / timing</t>
  </si>
  <si>
    <t xml:space="preserve">Source</t>
  </si>
  <si>
    <t xml:space="preserve">Lula: change vs main sheet (pp, formula)</t>
  </si>
  <si>
    <t xml:space="preserve">Flávio: change vs main sheet (pp, formula)</t>
  </si>
  <si>
    <t xml:space="preserve">Quaest/Globo, 2nd half of Sep 2026</t>
  </si>
  <si>
    <t xml:space="preserve">https://www.band.com.br/politica/eleicoes/lula-x-flavio-veja-como-estao-intencoes-de-voto-para-presidente-por-estado</t>
  </si>
  <si>
    <t xml:space="preserve">AtlasIntel, 23–28 Sep 2026 (Datafolha 14–16 Sep: Lula 59%, Flávio 20%)</t>
  </si>
  <si>
    <t xml:space="preserve">https://www.poder360.com.br/poder-eleicoes-2026/lula-tem-70-e-flavio-26-no-2o-turno-no-pi-diz-atlasintel/</t>
  </si>
  <si>
    <t xml:space="preserve">No newer poll found (not in Quaest's latest round) – see main sheet</t>
  </si>
  <si>
    <t xml:space="preserve">—</t>
  </si>
  <si>
    <t xml:space="preserve">Only Lula and Flávio are reported for the late-Sep round in the compiled source (Band, 1 Oct 2026); Goiás: Caiado 23% in the same round. Full candidate lists are on the main sheet.</t>
  </si>
  <si>
    <t xml:space="preserve">#</t>
  </si>
  <si>
    <t xml:space="preserve">What it provides</t>
  </si>
  <si>
    <t xml:space="preserve">URL</t>
  </si>
  <si>
    <t xml:space="preserve">Brasil de Fato – Quaest in 17 states + DF (26 Aug 2026)</t>
  </si>
  <si>
    <t xml:space="preserve">Full candidate lists, Aug 24–25 release: AL, AP, AM, DF, MA, MT, MS, MG, PB, PR, RJ, RN, RS, RO, SC, TO</t>
  </si>
  <si>
    <t xml:space="preserve">CartaCapital – Quaest in BA, SE, GO, ES, AC, RR (27 Aug 2026)</t>
  </si>
  <si>
    <t xml:space="preserve">Full candidate lists, fieldwork 23–26 Aug (Scenario 1, without Marçal)</t>
  </si>
  <si>
    <t xml:space="preserve">Revista Fórum – Quaest São Paulo (29 Sep 2026)</t>
  </si>
  <si>
    <t xml:space="preserve">Full list, fieldwork 25–28 Sep</t>
  </si>
  <si>
    <t xml:space="preserve">Diário de Pernambuco – Quaest Pernambuco (29 Sep 2026)</t>
  </si>
  <si>
    <t xml:space="preserve">CartaCapital / Sem Pauta – Quaest Pará (26 Sep 2026)</t>
  </si>
  <si>
    <t xml:space="preserve">Full list, fieldwork 22–25 Sep</t>
  </si>
  <si>
    <t xml:space="preserve">Diário do Nordeste / Resenha Politika – Quaest Ceará (23 Sep 2026)</t>
  </si>
  <si>
    <t xml:space="preserve">Full list, fieldwork 19–22 Sep</t>
  </si>
  <si>
    <t xml:space="preserve">Poder360 / Brasil 247 – AtlasIntel Piauí (29 Sep 2026)</t>
  </si>
  <si>
    <t xml:space="preserve">Full list, fieldwork 23–28 Sep (different pollster – Quaest did not poll PI)</t>
  </si>
  <si>
    <t xml:space="preserve">Band – compilation of latest Quaest state round (1 Oct 2026)</t>
  </si>
  <si>
    <t xml:space="preserve">Late-Sep Lula and Flávio figures for 24 units (not PI, SE, TO)</t>
  </si>
  <si>
    <t xml:space="preserve">Brasil de Fato – Quaest Pernambuco etc. / O Tempo / Metrópoles</t>
  </si>
  <si>
    <t xml:space="preserve">Cross-checks of Quaest figures</t>
  </si>
  <si>
    <t xml:space="preserve">https://www.metropoles.com/brasil/quaest-lula-atinge-40-flavio-marca-35-e-cury-tem-7-no-para</t>
  </si>
  <si>
    <t xml:space="preserve">Primary reference: Quaest, commissioned by TV Globo and its affiliates (same pollster and series for 26 of 27 units). Piauí is the only exception.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</si>
</sst>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\+0.0;\-0.0;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b val="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22" min="8" style="0" width="13"/>
    <col collapsed="false" customWidth="true" hidden="false" outlineLevel="0" max="23" min="23" style="0" width="22"/>
    <col collapsed="false" customWidth="true" hidden="false" outlineLevel="0" max="25" min="24" style="0" width="14"/>
    <col collapsed="false" customWidth="true" hidden="false" outlineLevel="0" max="26" min="26" style="0" width="90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n">
        <v>0.25</v>
      </c>
      <c r="I2" s="3" t="n">
        <v>0.42</v>
      </c>
      <c r="J2" s="3" t="n">
        <v>0.05</v>
      </c>
      <c r="K2" s="3" t="n">
        <v>0.02</v>
      </c>
      <c r="L2" s="3" t="n">
        <v>0.02</v>
      </c>
      <c r="M2" s="3" t="n">
        <v>0.02</v>
      </c>
      <c r="N2" s="3" t="n">
        <v>0.01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/>
      <c r="U2" s="3" t="n">
        <v>0.14</v>
      </c>
      <c r="V2" s="3" t="n">
        <v>0.07</v>
      </c>
      <c r="W2" s="2" t="str">
        <f aca="false">INDEX($H$1:$T$1,MATCH(MAX(H2:T2),H2:T2,0))</f>
        <v>Flávio Bolsonaro (PL)</v>
      </c>
      <c r="X2" s="4" t="n">
        <f aca="false">(LARGE(H2:T2,1)-LARGE(H2:T2,2))*100</f>
        <v>17</v>
      </c>
      <c r="Y2" s="3" t="n">
        <f aca="false">SUM(H2:V2)</f>
        <v>1</v>
      </c>
      <c r="Z2" s="2" t="s">
        <v>33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29</v>
      </c>
      <c r="E3" s="2" t="s">
        <v>37</v>
      </c>
      <c r="F3" s="2" t="s">
        <v>38</v>
      </c>
      <c r="G3" s="2" t="s">
        <v>32</v>
      </c>
      <c r="H3" s="3" t="n">
        <v>0.44</v>
      </c>
      <c r="I3" s="3" t="n">
        <v>0.29</v>
      </c>
      <c r="J3" s="3" t="n">
        <v>0.01</v>
      </c>
      <c r="K3" s="3"/>
      <c r="L3" s="3" t="n">
        <v>0.02</v>
      </c>
      <c r="M3" s="3" t="n">
        <v>0.01</v>
      </c>
      <c r="N3" s="3" t="n">
        <v>0.01</v>
      </c>
      <c r="O3" s="3" t="n">
        <v>0.01</v>
      </c>
      <c r="P3" s="3"/>
      <c r="Q3" s="3"/>
      <c r="R3" s="3"/>
      <c r="S3" s="3"/>
      <c r="T3" s="3"/>
      <c r="U3" s="3" t="n">
        <v>0.11</v>
      </c>
      <c r="V3" s="3" t="n">
        <v>0.1</v>
      </c>
      <c r="W3" s="2" t="str">
        <f aca="false">INDEX($H$1:$T$1,MATCH(MAX(H3:T3),H3:T3,0))</f>
        <v>Lula (PT)</v>
      </c>
      <c r="X3" s="4" t="n">
        <f aca="false">(LARGE(H3:T3,1)-LARGE(H3:T3,2))*100</f>
        <v>15</v>
      </c>
      <c r="Y3" s="3" t="n">
        <f aca="false">SUM(H3:V3)</f>
        <v>1</v>
      </c>
      <c r="Z3" s="2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28</v>
      </c>
      <c r="D4" s="2" t="s">
        <v>29</v>
      </c>
      <c r="E4" s="2" t="s">
        <v>37</v>
      </c>
      <c r="F4" s="2" t="s">
        <v>38</v>
      </c>
      <c r="G4" s="2" t="s">
        <v>32</v>
      </c>
      <c r="H4" s="3" t="n">
        <v>0.36</v>
      </c>
      <c r="I4" s="3" t="n">
        <v>0.33</v>
      </c>
      <c r="J4" s="3" t="n">
        <v>0.02</v>
      </c>
      <c r="K4" s="3" t="n">
        <v>0.01</v>
      </c>
      <c r="L4" s="3" t="n">
        <v>0.03</v>
      </c>
      <c r="M4" s="3" t="n">
        <v>0.02</v>
      </c>
      <c r="N4" s="3"/>
      <c r="O4" s="3" t="n">
        <v>0.01</v>
      </c>
      <c r="P4" s="3"/>
      <c r="Q4" s="3"/>
      <c r="R4" s="3"/>
      <c r="S4" s="3"/>
      <c r="T4" s="3"/>
      <c r="U4" s="3" t="n">
        <v>0.14</v>
      </c>
      <c r="V4" s="3" t="n">
        <v>0.08</v>
      </c>
      <c r="W4" s="2" t="str">
        <f aca="false">INDEX($H$1:$T$1,MATCH(MAX(H4:T4),H4:T4,0))</f>
        <v>Lula (PT)</v>
      </c>
      <c r="X4" s="4" t="n">
        <f aca="false">(LARGE(H4:T4,1)-LARGE(H4:T4,2))*100</f>
        <v>3</v>
      </c>
      <c r="Y4" s="3" t="n">
        <f aca="false">SUM(H4:V4)</f>
        <v>1</v>
      </c>
      <c r="Z4" s="2" t="s">
        <v>39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28</v>
      </c>
      <c r="D5" s="2" t="s">
        <v>29</v>
      </c>
      <c r="E5" s="2" t="s">
        <v>37</v>
      </c>
      <c r="F5" s="2" t="s">
        <v>38</v>
      </c>
      <c r="G5" s="2" t="s">
        <v>32</v>
      </c>
      <c r="H5" s="3" t="n">
        <v>0.38</v>
      </c>
      <c r="I5" s="3" t="n">
        <v>0.33</v>
      </c>
      <c r="J5" s="3" t="n">
        <v>0.02</v>
      </c>
      <c r="K5" s="3" t="n">
        <v>0.01</v>
      </c>
      <c r="L5" s="3" t="n">
        <v>0.03</v>
      </c>
      <c r="M5" s="3" t="n">
        <v>0.03</v>
      </c>
      <c r="N5" s="3"/>
      <c r="O5" s="3"/>
      <c r="P5" s="3" t="n">
        <v>0.01</v>
      </c>
      <c r="Q5" s="3"/>
      <c r="R5" s="3"/>
      <c r="S5" s="3"/>
      <c r="T5" s="3"/>
      <c r="U5" s="3" t="n">
        <v>0.12</v>
      </c>
      <c r="V5" s="3" t="n">
        <v>0.07</v>
      </c>
      <c r="W5" s="2" t="str">
        <f aca="false">INDEX($H$1:$T$1,MATCH(MAX(H5:T5),H5:T5,0))</f>
        <v>Lula (PT)</v>
      </c>
      <c r="X5" s="4" t="n">
        <f aca="false">(LARGE(H5:T5,1)-LARGE(H5:T5,2))*100</f>
        <v>5</v>
      </c>
      <c r="Y5" s="3" t="n">
        <f aca="false">SUM(H5:V5)</f>
        <v>1</v>
      </c>
      <c r="Z5" s="2" t="s">
        <v>39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36</v>
      </c>
      <c r="D6" s="2" t="s">
        <v>29</v>
      </c>
      <c r="E6" s="2" t="s">
        <v>30</v>
      </c>
      <c r="F6" s="2" t="s">
        <v>46</v>
      </c>
      <c r="G6" s="2" t="s">
        <v>32</v>
      </c>
      <c r="H6" s="3" t="n">
        <v>0.5</v>
      </c>
      <c r="I6" s="3" t="n">
        <v>0.17</v>
      </c>
      <c r="J6" s="3" t="n">
        <v>0.04</v>
      </c>
      <c r="K6" s="3" t="n">
        <v>0.01</v>
      </c>
      <c r="L6" s="3" t="n">
        <v>0.01</v>
      </c>
      <c r="M6" s="3" t="n">
        <v>0.04</v>
      </c>
      <c r="N6" s="3" t="n">
        <v>0.01</v>
      </c>
      <c r="O6" s="3" t="n">
        <v>0.02</v>
      </c>
      <c r="P6" s="3" t="n">
        <v>0</v>
      </c>
      <c r="Q6" s="3" t="n">
        <v>0</v>
      </c>
      <c r="R6" s="3" t="n">
        <v>0</v>
      </c>
      <c r="S6" s="3" t="n">
        <v>0</v>
      </c>
      <c r="T6" s="3"/>
      <c r="U6" s="3" t="n">
        <v>0.12</v>
      </c>
      <c r="V6" s="3" t="n">
        <v>0.08</v>
      </c>
      <c r="W6" s="2" t="str">
        <f aca="false">INDEX($H$1:$T$1,MATCH(MAX(H6:T6),H6:T6,0))</f>
        <v>Lula (PT)</v>
      </c>
      <c r="X6" s="4" t="n">
        <f aca="false">(LARGE(H6:T6,1)-LARGE(H6:T6,2))*100</f>
        <v>33</v>
      </c>
      <c r="Y6" s="3" t="n">
        <f aca="false">SUM(H6:V6)</f>
        <v>1</v>
      </c>
      <c r="Z6" s="2" t="s">
        <v>33</v>
      </c>
    </row>
    <row r="7" customFormat="false" ht="15" hidden="false" customHeight="false" outlineLevel="0" collapsed="false">
      <c r="A7" s="2" t="s">
        <v>47</v>
      </c>
      <c r="B7" s="2" t="s">
        <v>48</v>
      </c>
      <c r="C7" s="2" t="s">
        <v>36</v>
      </c>
      <c r="D7" s="2" t="s">
        <v>29</v>
      </c>
      <c r="E7" s="2" t="s">
        <v>49</v>
      </c>
      <c r="F7" s="2" t="s">
        <v>46</v>
      </c>
      <c r="G7" s="2" t="s">
        <v>50</v>
      </c>
      <c r="H7" s="3" t="n">
        <v>0.55</v>
      </c>
      <c r="I7" s="3" t="n">
        <v>0.23</v>
      </c>
      <c r="J7" s="3" t="n">
        <v>0.01</v>
      </c>
      <c r="K7" s="3" t="n">
        <v>0</v>
      </c>
      <c r="L7" s="3" t="n">
        <v>0.03</v>
      </c>
      <c r="M7" s="3" t="n">
        <v>0.05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0.06</v>
      </c>
      <c r="V7" s="3" t="n">
        <v>0.07</v>
      </c>
      <c r="W7" s="2" t="str">
        <f aca="false">INDEX($H$1:$T$1,MATCH(MAX(H7:T7),H7:T7,0))</f>
        <v>Lula (PT)</v>
      </c>
      <c r="X7" s="4" t="n">
        <f aca="false">(LARGE(H7:T7,1)-LARGE(H7:T7,2))*100</f>
        <v>32</v>
      </c>
      <c r="Y7" s="3" t="n">
        <f aca="false">SUM(H7:V7)</f>
        <v>1</v>
      </c>
      <c r="Z7" s="2" t="s">
        <v>51</v>
      </c>
    </row>
    <row r="8" customFormat="false" ht="15" hidden="false" customHeight="false" outlineLevel="0" collapsed="false">
      <c r="A8" s="2" t="s">
        <v>52</v>
      </c>
      <c r="B8" s="2" t="s">
        <v>53</v>
      </c>
      <c r="C8" s="2" t="s">
        <v>54</v>
      </c>
      <c r="D8" s="2" t="s">
        <v>29</v>
      </c>
      <c r="E8" s="2" t="s">
        <v>37</v>
      </c>
      <c r="F8" s="2" t="s">
        <v>38</v>
      </c>
      <c r="G8" s="2" t="s">
        <v>32</v>
      </c>
      <c r="H8" s="3" t="n">
        <v>0.28</v>
      </c>
      <c r="I8" s="3" t="n">
        <v>0.26</v>
      </c>
      <c r="J8" s="3" t="n">
        <v>0.13</v>
      </c>
      <c r="K8" s="3" t="n">
        <v>0.03</v>
      </c>
      <c r="L8" s="3" t="n">
        <v>0.03</v>
      </c>
      <c r="M8" s="3" t="n">
        <v>0.03</v>
      </c>
      <c r="N8" s="3" t="n">
        <v>0.02</v>
      </c>
      <c r="O8" s="3"/>
      <c r="P8" s="3"/>
      <c r="Q8" s="3"/>
      <c r="R8" s="3"/>
      <c r="S8" s="3"/>
      <c r="T8" s="3"/>
      <c r="U8" s="3" t="n">
        <v>0.12</v>
      </c>
      <c r="V8" s="3" t="n">
        <v>0.1</v>
      </c>
      <c r="W8" s="2" t="str">
        <f aca="false">INDEX($H$1:$T$1,MATCH(MAX(H8:T8),H8:T8,0))</f>
        <v>Lula (PT)</v>
      </c>
      <c r="X8" s="4" t="n">
        <f aca="false">(LARGE(H8:T8,1)-LARGE(H8:T8,2))*100</f>
        <v>2</v>
      </c>
      <c r="Y8" s="3" t="n">
        <f aca="false">SUM(H8:V8)</f>
        <v>1</v>
      </c>
      <c r="Z8" s="2" t="s">
        <v>39</v>
      </c>
    </row>
    <row r="9" customFormat="false" ht="15" hidden="false" customHeight="false" outlineLevel="0" collapsed="false">
      <c r="A9" s="2" t="s">
        <v>55</v>
      </c>
      <c r="B9" s="2" t="s">
        <v>56</v>
      </c>
      <c r="C9" s="2" t="s">
        <v>57</v>
      </c>
      <c r="D9" s="2" t="s">
        <v>29</v>
      </c>
      <c r="E9" s="2" t="s">
        <v>30</v>
      </c>
      <c r="F9" s="2" t="s">
        <v>31</v>
      </c>
      <c r="G9" s="2" t="s">
        <v>32</v>
      </c>
      <c r="H9" s="3" t="n">
        <v>0.3</v>
      </c>
      <c r="I9" s="3" t="n">
        <v>0.37</v>
      </c>
      <c r="J9" s="3" t="n">
        <v>0.03</v>
      </c>
      <c r="K9" s="3" t="n">
        <v>0.02</v>
      </c>
      <c r="L9" s="3" t="n">
        <v>0.04</v>
      </c>
      <c r="M9" s="3" t="n">
        <v>0.02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/>
      <c r="U9" s="3" t="n">
        <v>0.15</v>
      </c>
      <c r="V9" s="3" t="n">
        <v>0.07</v>
      </c>
      <c r="W9" s="2" t="str">
        <f aca="false">INDEX($H$1:$T$1,MATCH(MAX(H9:T9),H9:T9,0))</f>
        <v>Flávio Bolsonaro (PL)</v>
      </c>
      <c r="X9" s="4" t="n">
        <f aca="false">(LARGE(H9:T9,1)-LARGE(H9:T9,2))*100</f>
        <v>7</v>
      </c>
      <c r="Y9" s="3" t="n">
        <f aca="false">SUM(H9:V9)</f>
        <v>1</v>
      </c>
      <c r="Z9" s="2" t="s">
        <v>33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2" t="s">
        <v>54</v>
      </c>
      <c r="D10" s="2" t="s">
        <v>29</v>
      </c>
      <c r="E10" s="2" t="s">
        <v>30</v>
      </c>
      <c r="F10" s="2" t="s">
        <v>31</v>
      </c>
      <c r="G10" s="2" t="s">
        <v>32</v>
      </c>
      <c r="H10" s="3" t="n">
        <v>0.2</v>
      </c>
      <c r="I10" s="3" t="n">
        <v>0.27</v>
      </c>
      <c r="J10" s="3" t="n">
        <v>0.32</v>
      </c>
      <c r="K10" s="3" t="n">
        <v>0.02</v>
      </c>
      <c r="L10" s="3" t="n">
        <v>0.02</v>
      </c>
      <c r="M10" s="3" t="n">
        <v>0.01</v>
      </c>
      <c r="N10" s="3" t="n">
        <v>0.01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/>
      <c r="U10" s="3" t="n">
        <v>0.11</v>
      </c>
      <c r="V10" s="3" t="n">
        <v>0.04</v>
      </c>
      <c r="W10" s="2" t="str">
        <f aca="false">INDEX($H$1:$T$1,MATCH(MAX(H10:T10),H10:T10,0))</f>
        <v>Ronaldo Caiado (PSD)</v>
      </c>
      <c r="X10" s="4" t="n">
        <f aca="false">(LARGE(H10:T10,1)-LARGE(H10:T10,2))*100</f>
        <v>5</v>
      </c>
      <c r="Y10" s="3" t="n">
        <f aca="false">SUM(H10:V10)</f>
        <v>1</v>
      </c>
      <c r="Z10" s="2" t="s">
        <v>33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36</v>
      </c>
      <c r="D11" s="2" t="s">
        <v>29</v>
      </c>
      <c r="E11" s="2" t="s">
        <v>37</v>
      </c>
      <c r="F11" s="2" t="s">
        <v>38</v>
      </c>
      <c r="G11" s="2" t="s">
        <v>32</v>
      </c>
      <c r="H11" s="3" t="n">
        <v>0.58</v>
      </c>
      <c r="I11" s="3" t="n">
        <v>0.2</v>
      </c>
      <c r="J11" s="3" t="n">
        <v>0.02</v>
      </c>
      <c r="K11" s="3"/>
      <c r="L11" s="3" t="n">
        <v>0.02</v>
      </c>
      <c r="M11" s="3" t="n">
        <v>0.01</v>
      </c>
      <c r="N11" s="3"/>
      <c r="O11" s="3"/>
      <c r="P11" s="3"/>
      <c r="Q11" s="3" t="n">
        <v>0.01</v>
      </c>
      <c r="R11" s="3"/>
      <c r="S11" s="3"/>
      <c r="T11" s="3"/>
      <c r="U11" s="3" t="n">
        <v>0.11</v>
      </c>
      <c r="V11" s="3" t="n">
        <v>0.05</v>
      </c>
      <c r="W11" s="2" t="str">
        <f aca="false">INDEX($H$1:$T$1,MATCH(MAX(H11:T11),H11:T11,0))</f>
        <v>Lula (PT)</v>
      </c>
      <c r="X11" s="4" t="n">
        <f aca="false">(LARGE(H11:T11,1)-LARGE(H11:T11,2))*100</f>
        <v>38</v>
      </c>
      <c r="Y11" s="3" t="n">
        <f aca="false">SUM(H11:V11)</f>
        <v>1</v>
      </c>
      <c r="Z11" s="2" t="s">
        <v>39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54</v>
      </c>
      <c r="D12" s="2" t="s">
        <v>29</v>
      </c>
      <c r="E12" s="2" t="s">
        <v>37</v>
      </c>
      <c r="F12" s="2" t="s">
        <v>38</v>
      </c>
      <c r="G12" s="2" t="s">
        <v>32</v>
      </c>
      <c r="H12" s="3" t="n">
        <v>0.26</v>
      </c>
      <c r="I12" s="3" t="n">
        <v>0.43</v>
      </c>
      <c r="J12" s="3" t="n">
        <v>0.04</v>
      </c>
      <c r="K12" s="3" t="n">
        <v>0.02</v>
      </c>
      <c r="L12" s="3" t="n">
        <v>0.03</v>
      </c>
      <c r="M12" s="3" t="n">
        <v>0.01</v>
      </c>
      <c r="N12" s="3" t="n">
        <v>0.01</v>
      </c>
      <c r="O12" s="3"/>
      <c r="P12" s="3"/>
      <c r="Q12" s="3"/>
      <c r="R12" s="3"/>
      <c r="S12" s="3"/>
      <c r="T12" s="3"/>
      <c r="U12" s="3" t="n">
        <v>0.14</v>
      </c>
      <c r="V12" s="3" t="n">
        <v>0.06</v>
      </c>
      <c r="W12" s="2" t="str">
        <f aca="false">INDEX($H$1:$T$1,MATCH(MAX(H12:T12),H12:T12,0))</f>
        <v>Flávio Bolsonaro (PL)</v>
      </c>
      <c r="X12" s="4" t="n">
        <f aca="false">(LARGE(H12:T12,1)-LARGE(H12:T12,2))*100</f>
        <v>17</v>
      </c>
      <c r="Y12" s="3" t="n">
        <f aca="false">SUM(H12:V12)</f>
        <v>1</v>
      </c>
      <c r="Z12" s="2" t="s">
        <v>39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54</v>
      </c>
      <c r="D13" s="2" t="s">
        <v>29</v>
      </c>
      <c r="E13" s="2" t="s">
        <v>37</v>
      </c>
      <c r="F13" s="2" t="s">
        <v>38</v>
      </c>
      <c r="G13" s="2" t="s">
        <v>32</v>
      </c>
      <c r="H13" s="3" t="n">
        <v>0.27</v>
      </c>
      <c r="I13" s="3" t="n">
        <v>0.33</v>
      </c>
      <c r="J13" s="3" t="n">
        <v>0.05</v>
      </c>
      <c r="K13" s="3" t="n">
        <v>0.02</v>
      </c>
      <c r="L13" s="3" t="n">
        <v>0.04</v>
      </c>
      <c r="M13" s="3" t="n">
        <v>0.03</v>
      </c>
      <c r="N13" s="3" t="n">
        <v>0.02</v>
      </c>
      <c r="O13" s="3"/>
      <c r="P13" s="3" t="n">
        <v>0.01</v>
      </c>
      <c r="Q13" s="3"/>
      <c r="R13" s="3"/>
      <c r="S13" s="3"/>
      <c r="T13" s="3"/>
      <c r="U13" s="3" t="n">
        <v>0.13</v>
      </c>
      <c r="V13" s="3" t="n">
        <v>0.1</v>
      </c>
      <c r="W13" s="2" t="str">
        <f aca="false">INDEX($H$1:$T$1,MATCH(MAX(H13:T13),H13:T13,0))</f>
        <v>Flávio Bolsonaro (PL)</v>
      </c>
      <c r="X13" s="4" t="n">
        <f aca="false">(LARGE(H13:T13,1)-LARGE(H13:T13,2))*100</f>
        <v>6</v>
      </c>
      <c r="Y13" s="3" t="n">
        <f aca="false">SUM(H13:V13)</f>
        <v>1</v>
      </c>
      <c r="Z13" s="2" t="s">
        <v>39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57</v>
      </c>
      <c r="D14" s="2" t="s">
        <v>29</v>
      </c>
      <c r="E14" s="2" t="s">
        <v>37</v>
      </c>
      <c r="F14" s="2" t="s">
        <v>38</v>
      </c>
      <c r="G14" s="2" t="s">
        <v>32</v>
      </c>
      <c r="H14" s="3" t="n">
        <v>0.3</v>
      </c>
      <c r="I14" s="3" t="n">
        <v>0.31</v>
      </c>
      <c r="J14" s="3" t="n">
        <v>0.03</v>
      </c>
      <c r="K14" s="3" t="n">
        <v>0.07</v>
      </c>
      <c r="L14" s="3" t="n">
        <v>0.03</v>
      </c>
      <c r="M14" s="3" t="n">
        <v>0.01</v>
      </c>
      <c r="N14" s="3"/>
      <c r="O14" s="3"/>
      <c r="P14" s="3"/>
      <c r="Q14" s="3"/>
      <c r="R14" s="3"/>
      <c r="S14" s="3"/>
      <c r="T14" s="3"/>
      <c r="U14" s="3" t="n">
        <v>0.17</v>
      </c>
      <c r="V14" s="3" t="n">
        <v>0.08</v>
      </c>
      <c r="W14" s="2" t="str">
        <f aca="false">INDEX($H$1:$T$1,MATCH(MAX(H14:T14),H14:T14,0))</f>
        <v>Flávio Bolsonaro (PL)</v>
      </c>
      <c r="X14" s="4" t="n">
        <f aca="false">(LARGE(H14:T14,1)-LARGE(H14:T14,2))*100</f>
        <v>1</v>
      </c>
      <c r="Y14" s="3" t="n">
        <f aca="false">SUM(H14:V14)</f>
        <v>1</v>
      </c>
      <c r="Z14" s="2" t="s">
        <v>39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28</v>
      </c>
      <c r="D15" s="2" t="s">
        <v>29</v>
      </c>
      <c r="E15" s="2" t="s">
        <v>70</v>
      </c>
      <c r="F15" s="2" t="s">
        <v>31</v>
      </c>
      <c r="G15" s="2" t="s">
        <v>50</v>
      </c>
      <c r="H15" s="3" t="n">
        <v>0.4</v>
      </c>
      <c r="I15" s="3" t="n">
        <v>0.35</v>
      </c>
      <c r="J15" s="3" t="n">
        <v>0.02</v>
      </c>
      <c r="K15" s="3" t="n">
        <v>0</v>
      </c>
      <c r="L15" s="3" t="n">
        <v>0.02</v>
      </c>
      <c r="M15" s="3" t="n">
        <v>0.07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0.1</v>
      </c>
      <c r="V15" s="3" t="n">
        <v>0.04</v>
      </c>
      <c r="W15" s="2" t="str">
        <f aca="false">INDEX($H$1:$T$1,MATCH(MAX(H15:T15),H15:T15,0))</f>
        <v>Lula (PT)</v>
      </c>
      <c r="X15" s="4" t="n">
        <f aca="false">(LARGE(H15:T15,1)-LARGE(H15:T15,2))*100</f>
        <v>5</v>
      </c>
      <c r="Y15" s="3" t="n">
        <f aca="false">SUM(H15:V15)</f>
        <v>1</v>
      </c>
      <c r="Z15" s="2" t="s">
        <v>71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36</v>
      </c>
      <c r="D16" s="2" t="s">
        <v>29</v>
      </c>
      <c r="E16" s="2" t="s">
        <v>37</v>
      </c>
      <c r="F16" s="2" t="s">
        <v>38</v>
      </c>
      <c r="G16" s="2" t="s">
        <v>32</v>
      </c>
      <c r="H16" s="3" t="n">
        <v>0.5</v>
      </c>
      <c r="I16" s="3" t="n">
        <v>0.21</v>
      </c>
      <c r="J16" s="3" t="n">
        <v>0.03</v>
      </c>
      <c r="K16" s="3" t="n">
        <v>0.01</v>
      </c>
      <c r="L16" s="3" t="n">
        <v>0.02</v>
      </c>
      <c r="M16" s="3" t="n">
        <v>0.01</v>
      </c>
      <c r="N16" s="3" t="n">
        <v>0.01</v>
      </c>
      <c r="O16" s="3"/>
      <c r="P16" s="3"/>
      <c r="Q16" s="3"/>
      <c r="R16" s="3"/>
      <c r="S16" s="3"/>
      <c r="T16" s="3"/>
      <c r="U16" s="3" t="n">
        <v>0.08</v>
      </c>
      <c r="V16" s="3" t="n">
        <v>0.13</v>
      </c>
      <c r="W16" s="2" t="str">
        <f aca="false">INDEX($H$1:$T$1,MATCH(MAX(H16:T16),H16:T16,0))</f>
        <v>Lula (PT)</v>
      </c>
      <c r="X16" s="4" t="n">
        <f aca="false">(LARGE(H16:T16,1)-LARGE(H16:T16,2))*100</f>
        <v>29</v>
      </c>
      <c r="Y16" s="3" t="n">
        <f aca="false">SUM(H16:V16)</f>
        <v>1</v>
      </c>
      <c r="Z16" s="2" t="s">
        <v>39</v>
      </c>
    </row>
    <row r="17" customFormat="false" ht="15" hidden="false" customHeight="false" outlineLevel="0" collapsed="false">
      <c r="A17" s="2" t="s">
        <v>74</v>
      </c>
      <c r="B17" s="2" t="s">
        <v>75</v>
      </c>
      <c r="C17" s="2" t="s">
        <v>76</v>
      </c>
      <c r="D17" s="2" t="s">
        <v>29</v>
      </c>
      <c r="E17" s="2" t="s">
        <v>37</v>
      </c>
      <c r="F17" s="2" t="s">
        <v>38</v>
      </c>
      <c r="G17" s="2" t="s">
        <v>32</v>
      </c>
      <c r="H17" s="3" t="n">
        <v>0.23</v>
      </c>
      <c r="I17" s="3" t="n">
        <v>0.41</v>
      </c>
      <c r="J17" s="3" t="n">
        <v>0.05</v>
      </c>
      <c r="K17" s="3" t="n">
        <v>0.03</v>
      </c>
      <c r="L17" s="3" t="n">
        <v>0.02</v>
      </c>
      <c r="M17" s="3" t="n">
        <v>0.01</v>
      </c>
      <c r="N17" s="3"/>
      <c r="O17" s="3"/>
      <c r="P17" s="3"/>
      <c r="Q17" s="3"/>
      <c r="R17" s="3" t="n">
        <v>0.01</v>
      </c>
      <c r="S17" s="3"/>
      <c r="T17" s="3"/>
      <c r="U17" s="3" t="n">
        <v>0.17</v>
      </c>
      <c r="V17" s="3" t="n">
        <v>0.07</v>
      </c>
      <c r="W17" s="2" t="str">
        <f aca="false">INDEX($H$1:$T$1,MATCH(MAX(H17:T17),H17:T17,0))</f>
        <v>Flávio Bolsonaro (PL)</v>
      </c>
      <c r="X17" s="4" t="n">
        <f aca="false">(LARGE(H17:T17,1)-LARGE(H17:T17,2))*100</f>
        <v>18</v>
      </c>
      <c r="Y17" s="3" t="n">
        <f aca="false">SUM(H17:V17)</f>
        <v>1</v>
      </c>
      <c r="Z17" s="2" t="s">
        <v>39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36</v>
      </c>
      <c r="D18" s="2" t="s">
        <v>29</v>
      </c>
      <c r="E18" s="2" t="s">
        <v>79</v>
      </c>
      <c r="F18" s="2" t="s">
        <v>80</v>
      </c>
      <c r="G18" s="2" t="s">
        <v>50</v>
      </c>
      <c r="H18" s="3" t="n">
        <v>0.58</v>
      </c>
      <c r="I18" s="3" t="n">
        <v>0.2</v>
      </c>
      <c r="J18" s="3" t="n">
        <v>0.01</v>
      </c>
      <c r="K18" s="3" t="n">
        <v>0</v>
      </c>
      <c r="L18" s="3" t="n">
        <v>0.02</v>
      </c>
      <c r="M18" s="3" t="n">
        <v>0.03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0.11</v>
      </c>
      <c r="V18" s="3" t="n">
        <v>0.05</v>
      </c>
      <c r="W18" s="2" t="str">
        <f aca="false">INDEX($H$1:$T$1,MATCH(MAX(H18:T18),H18:T18,0))</f>
        <v>Lula (PT)</v>
      </c>
      <c r="X18" s="4" t="n">
        <f aca="false">(LARGE(H18:T18,1)-LARGE(H18:T18,2))*100</f>
        <v>38</v>
      </c>
      <c r="Y18" s="3" t="n">
        <f aca="false">SUM(H18:V18)</f>
        <v>1</v>
      </c>
      <c r="Z18" s="2" t="s">
        <v>81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2" t="s">
        <v>36</v>
      </c>
      <c r="D19" s="2" t="s">
        <v>84</v>
      </c>
      <c r="E19" s="2" t="s">
        <v>85</v>
      </c>
      <c r="F19" s="2" t="s">
        <v>86</v>
      </c>
      <c r="G19" s="2" t="s">
        <v>87</v>
      </c>
      <c r="H19" s="3" t="n">
        <v>0.685</v>
      </c>
      <c r="I19" s="3" t="n">
        <v>0.246</v>
      </c>
      <c r="J19" s="3" t="n">
        <v>0.013</v>
      </c>
      <c r="K19" s="3" t="n">
        <v>0</v>
      </c>
      <c r="L19" s="3" t="n">
        <v>0.02</v>
      </c>
      <c r="M19" s="3" t="n">
        <v>0.024</v>
      </c>
      <c r="N19" s="3" t="n">
        <v>0</v>
      </c>
      <c r="O19" s="3"/>
      <c r="P19" s="3"/>
      <c r="Q19" s="3"/>
      <c r="R19" s="3"/>
      <c r="S19" s="3"/>
      <c r="T19" s="3"/>
      <c r="U19" s="3" t="n">
        <v>0.006</v>
      </c>
      <c r="V19" s="3" t="n">
        <v>0.006</v>
      </c>
      <c r="W19" s="2" t="str">
        <f aca="false">INDEX($H$1:$T$1,MATCH(MAX(H19:T19),H19:T19,0))</f>
        <v>Lula (PT)</v>
      </c>
      <c r="X19" s="4" t="n">
        <f aca="false">(LARGE(H19:T19,1)-LARGE(H19:T19,2))*100</f>
        <v>43.9</v>
      </c>
      <c r="Y19" s="3" t="n">
        <f aca="false">SUM(H19:V19)</f>
        <v>1</v>
      </c>
      <c r="Z19" s="2" t="s">
        <v>88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57</v>
      </c>
      <c r="D20" s="2" t="s">
        <v>29</v>
      </c>
      <c r="E20" s="2" t="s">
        <v>37</v>
      </c>
      <c r="F20" s="2" t="s">
        <v>38</v>
      </c>
      <c r="G20" s="2" t="s">
        <v>32</v>
      </c>
      <c r="H20" s="3" t="n">
        <v>0.29</v>
      </c>
      <c r="I20" s="3" t="n">
        <v>0.31</v>
      </c>
      <c r="J20" s="3" t="n">
        <v>0.02</v>
      </c>
      <c r="K20" s="3" t="n">
        <v>0.02</v>
      </c>
      <c r="L20" s="3" t="n">
        <v>0.02</v>
      </c>
      <c r="M20" s="3" t="n">
        <v>0.01</v>
      </c>
      <c r="N20" s="3" t="n">
        <v>0.01</v>
      </c>
      <c r="O20" s="3"/>
      <c r="P20" s="3"/>
      <c r="Q20" s="3"/>
      <c r="R20" s="3"/>
      <c r="S20" s="3"/>
      <c r="T20" s="3"/>
      <c r="U20" s="3" t="n">
        <v>0.16</v>
      </c>
      <c r="V20" s="3" t="n">
        <v>0.16</v>
      </c>
      <c r="W20" s="2" t="str">
        <f aca="false">INDEX($H$1:$T$1,MATCH(MAX(H20:T20),H20:T20,0))</f>
        <v>Flávio Bolsonaro (PL)</v>
      </c>
      <c r="X20" s="4" t="n">
        <f aca="false">(LARGE(H20:T20,1)-LARGE(H20:T20,2))*100</f>
        <v>2</v>
      </c>
      <c r="Y20" s="3" t="n">
        <f aca="false">SUM(H20:V20)</f>
        <v>1</v>
      </c>
      <c r="Z20" s="2" t="s">
        <v>39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2" t="s">
        <v>36</v>
      </c>
      <c r="D21" s="2" t="s">
        <v>29</v>
      </c>
      <c r="E21" s="2" t="s">
        <v>37</v>
      </c>
      <c r="F21" s="2" t="s">
        <v>38</v>
      </c>
      <c r="G21" s="2" t="s">
        <v>32</v>
      </c>
      <c r="H21" s="3" t="n">
        <v>0.54</v>
      </c>
      <c r="I21" s="3" t="n">
        <v>0.2</v>
      </c>
      <c r="J21" s="3" t="n">
        <v>0.02</v>
      </c>
      <c r="K21" s="3" t="n">
        <v>0.01</v>
      </c>
      <c r="L21" s="3" t="n">
        <v>0.02</v>
      </c>
      <c r="M21" s="3" t="n">
        <v>0.01</v>
      </c>
      <c r="N21" s="3"/>
      <c r="O21" s="3"/>
      <c r="P21" s="3"/>
      <c r="Q21" s="3"/>
      <c r="R21" s="3"/>
      <c r="S21" s="3"/>
      <c r="T21" s="3"/>
      <c r="U21" s="3" t="n">
        <v>0.09</v>
      </c>
      <c r="V21" s="3" t="n">
        <v>0.11</v>
      </c>
      <c r="W21" s="2" t="str">
        <f aca="false">INDEX($H$1:$T$1,MATCH(MAX(H21:T21),H21:T21,0))</f>
        <v>Lula (PT)</v>
      </c>
      <c r="X21" s="4" t="n">
        <f aca="false">(LARGE(H21:T21,1)-LARGE(H21:T21,2))*100</f>
        <v>34</v>
      </c>
      <c r="Y21" s="3" t="n">
        <f aca="false">SUM(H21:V21)</f>
        <v>1</v>
      </c>
      <c r="Z21" s="2" t="s">
        <v>39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76</v>
      </c>
      <c r="D22" s="2" t="s">
        <v>29</v>
      </c>
      <c r="E22" s="2" t="s">
        <v>37</v>
      </c>
      <c r="F22" s="2" t="s">
        <v>38</v>
      </c>
      <c r="G22" s="2" t="s">
        <v>32</v>
      </c>
      <c r="H22" s="3" t="n">
        <v>0.28</v>
      </c>
      <c r="I22" s="3" t="n">
        <v>0.34</v>
      </c>
      <c r="J22" s="3" t="n">
        <v>0.03</v>
      </c>
      <c r="K22" s="3" t="n">
        <v>0.02</v>
      </c>
      <c r="L22" s="3" t="n">
        <v>0.02</v>
      </c>
      <c r="M22" s="3" t="n">
        <v>0.02</v>
      </c>
      <c r="N22" s="3"/>
      <c r="O22" s="3"/>
      <c r="P22" s="3"/>
      <c r="Q22" s="3" t="n">
        <v>0.01</v>
      </c>
      <c r="R22" s="3"/>
      <c r="S22" s="3"/>
      <c r="T22" s="3"/>
      <c r="U22" s="3" t="n">
        <v>0.18</v>
      </c>
      <c r="V22" s="3" t="n">
        <v>0.1</v>
      </c>
      <c r="W22" s="2" t="str">
        <f aca="false">INDEX($H$1:$T$1,MATCH(MAX(H22:T22),H22:T22,0))</f>
        <v>Flávio Bolsonaro (PL)</v>
      </c>
      <c r="X22" s="4" t="n">
        <f aca="false">(LARGE(H22:T22,1)-LARGE(H22:T22,2))*100</f>
        <v>6</v>
      </c>
      <c r="Y22" s="3" t="n">
        <f aca="false">SUM(H22:V22)</f>
        <v>1</v>
      </c>
      <c r="Z22" s="2" t="s">
        <v>39</v>
      </c>
    </row>
    <row r="23" customFormat="false" ht="15" hidden="false" customHeight="false" outlineLevel="0" collapsed="false">
      <c r="A23" s="2" t="s">
        <v>95</v>
      </c>
      <c r="B23" s="2" t="s">
        <v>96</v>
      </c>
      <c r="C23" s="2" t="s">
        <v>28</v>
      </c>
      <c r="D23" s="2" t="s">
        <v>29</v>
      </c>
      <c r="E23" s="2" t="s">
        <v>37</v>
      </c>
      <c r="F23" s="2" t="s">
        <v>38</v>
      </c>
      <c r="G23" s="2" t="s">
        <v>32</v>
      </c>
      <c r="H23" s="3" t="n">
        <v>0.25</v>
      </c>
      <c r="I23" s="3" t="n">
        <v>0.45</v>
      </c>
      <c r="J23" s="3" t="n">
        <v>0.03</v>
      </c>
      <c r="K23" s="3" t="n">
        <v>0.02</v>
      </c>
      <c r="L23" s="3" t="n">
        <v>0.03</v>
      </c>
      <c r="M23" s="3" t="n">
        <v>0.01</v>
      </c>
      <c r="N23" s="3"/>
      <c r="O23" s="3"/>
      <c r="P23" s="3" t="n">
        <v>0.01</v>
      </c>
      <c r="Q23" s="3" t="n">
        <v>0.01</v>
      </c>
      <c r="R23" s="3"/>
      <c r="S23" s="3"/>
      <c r="T23" s="3"/>
      <c r="U23" s="3" t="n">
        <v>0.12</v>
      </c>
      <c r="V23" s="3" t="n">
        <v>0.07</v>
      </c>
      <c r="W23" s="2" t="str">
        <f aca="false">INDEX($H$1:$T$1,MATCH(MAX(H23:T23),H23:T23,0))</f>
        <v>Flávio Bolsonaro (PL)</v>
      </c>
      <c r="X23" s="4" t="n">
        <f aca="false">(LARGE(H23:T23,1)-LARGE(H23:T23,2))*100</f>
        <v>20</v>
      </c>
      <c r="Y23" s="3" t="n">
        <f aca="false">SUM(H23:V23)</f>
        <v>1</v>
      </c>
      <c r="Z23" s="2" t="s">
        <v>39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3" t="n">
        <v>0.17</v>
      </c>
      <c r="I24" s="3" t="n">
        <v>0.52</v>
      </c>
      <c r="J24" s="3" t="n">
        <v>0.03</v>
      </c>
      <c r="K24" s="3" t="n">
        <v>0.01</v>
      </c>
      <c r="L24" s="3" t="n">
        <v>0.04</v>
      </c>
      <c r="M24" s="3" t="n">
        <v>0.03</v>
      </c>
      <c r="N24" s="3" t="n">
        <v>0.01</v>
      </c>
      <c r="O24" s="3" t="n">
        <v>0.01</v>
      </c>
      <c r="P24" s="3" t="n">
        <v>0</v>
      </c>
      <c r="Q24" s="3" t="n">
        <v>0</v>
      </c>
      <c r="R24" s="3" t="n">
        <v>0</v>
      </c>
      <c r="S24" s="3" t="n">
        <v>0</v>
      </c>
      <c r="T24" s="3"/>
      <c r="U24" s="3" t="n">
        <v>0.11</v>
      </c>
      <c r="V24" s="3" t="n">
        <v>0.07</v>
      </c>
      <c r="W24" s="2" t="str">
        <f aca="false">INDEX($H$1:$T$1,MATCH(MAX(H24:T24),H24:T24,0))</f>
        <v>Flávio Bolsonaro (PL)</v>
      </c>
      <c r="X24" s="4" t="n">
        <f aca="false">(LARGE(H24:T24,1)-LARGE(H24:T24,2))*100</f>
        <v>35</v>
      </c>
      <c r="Y24" s="3" t="n">
        <f aca="false">SUM(H24:V24)</f>
        <v>1</v>
      </c>
      <c r="Z24" s="2" t="s">
        <v>33</v>
      </c>
    </row>
    <row r="25" customFormat="false" ht="15" hidden="false" customHeight="false" outlineLevel="0" collapsed="false">
      <c r="A25" s="2" t="s">
        <v>99</v>
      </c>
      <c r="B25" s="2" t="s">
        <v>100</v>
      </c>
      <c r="C25" s="2" t="s">
        <v>76</v>
      </c>
      <c r="D25" s="2" t="s">
        <v>29</v>
      </c>
      <c r="E25" s="2" t="s">
        <v>37</v>
      </c>
      <c r="F25" s="2" t="s">
        <v>38</v>
      </c>
      <c r="G25" s="2" t="s">
        <v>32</v>
      </c>
      <c r="H25" s="3" t="n">
        <v>0.2</v>
      </c>
      <c r="I25" s="3" t="n">
        <v>0.45</v>
      </c>
      <c r="J25" s="3" t="n">
        <v>0.03</v>
      </c>
      <c r="K25" s="3" t="n">
        <v>0.03</v>
      </c>
      <c r="L25" s="3" t="n">
        <v>0.04</v>
      </c>
      <c r="M25" s="3" t="n">
        <v>0.03</v>
      </c>
      <c r="N25" s="3" t="n">
        <v>0.01</v>
      </c>
      <c r="O25" s="3"/>
      <c r="P25" s="3"/>
      <c r="Q25" s="3"/>
      <c r="R25" s="3"/>
      <c r="S25" s="3"/>
      <c r="T25" s="3"/>
      <c r="U25" s="3" t="n">
        <v>0.13</v>
      </c>
      <c r="V25" s="3" t="n">
        <v>0.08</v>
      </c>
      <c r="W25" s="2" t="str">
        <f aca="false">INDEX($H$1:$T$1,MATCH(MAX(H25:T25),H25:T25,0))</f>
        <v>Flávio Bolsonaro (PL)</v>
      </c>
      <c r="X25" s="4" t="n">
        <f aca="false">(LARGE(H25:T25,1)-LARGE(H25:T25,2))*100</f>
        <v>25</v>
      </c>
      <c r="Y25" s="3" t="n">
        <f aca="false">SUM(H25:V25)</f>
        <v>1</v>
      </c>
      <c r="Z25" s="2" t="s">
        <v>39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57</v>
      </c>
      <c r="D26" s="2" t="s">
        <v>29</v>
      </c>
      <c r="E26" s="2" t="s">
        <v>79</v>
      </c>
      <c r="F26" s="2" t="s">
        <v>103</v>
      </c>
      <c r="G26" s="2" t="s">
        <v>50</v>
      </c>
      <c r="H26" s="3" t="n">
        <v>0.3</v>
      </c>
      <c r="I26" s="3" t="n">
        <v>0.36</v>
      </c>
      <c r="J26" s="3" t="n">
        <v>0.04</v>
      </c>
      <c r="K26" s="3" t="n">
        <v>0.01</v>
      </c>
      <c r="L26" s="3" t="n">
        <v>0.03</v>
      </c>
      <c r="M26" s="3" t="n">
        <v>0.05</v>
      </c>
      <c r="N26" s="3" t="n">
        <v>0</v>
      </c>
      <c r="O26" s="3" t="n">
        <v>0</v>
      </c>
      <c r="P26" s="3" t="n">
        <v>0</v>
      </c>
      <c r="Q26" s="3"/>
      <c r="R26" s="3" t="n">
        <v>0</v>
      </c>
      <c r="S26" s="3" t="n">
        <v>0</v>
      </c>
      <c r="T26" s="3" t="n">
        <v>0</v>
      </c>
      <c r="U26" s="3" t="n">
        <v>0.12</v>
      </c>
      <c r="V26" s="3" t="n">
        <v>0.09</v>
      </c>
      <c r="W26" s="2" t="str">
        <f aca="false">INDEX($H$1:$T$1,MATCH(MAX(H26:T26),H26:T26,0))</f>
        <v>Flávio Bolsonaro (PL)</v>
      </c>
      <c r="X26" s="4" t="n">
        <f aca="false">(LARGE(H26:T26,1)-LARGE(H26:T26,2))*100</f>
        <v>6</v>
      </c>
      <c r="Y26" s="3" t="n">
        <f aca="false">SUM(H26:V26)</f>
        <v>1</v>
      </c>
      <c r="Z26" s="2" t="s">
        <v>104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2" t="s">
        <v>36</v>
      </c>
      <c r="D27" s="2" t="s">
        <v>29</v>
      </c>
      <c r="E27" s="2" t="s">
        <v>30</v>
      </c>
      <c r="F27" s="2" t="s">
        <v>31</v>
      </c>
      <c r="G27" s="2" t="s">
        <v>32</v>
      </c>
      <c r="H27" s="3" t="n">
        <v>0.53</v>
      </c>
      <c r="I27" s="3" t="n">
        <v>0.19</v>
      </c>
      <c r="J27" s="3" t="n">
        <v>0.03</v>
      </c>
      <c r="K27" s="3" t="n">
        <v>0</v>
      </c>
      <c r="L27" s="3" t="n">
        <v>0.02</v>
      </c>
      <c r="M27" s="3" t="n">
        <v>0.02</v>
      </c>
      <c r="N27" s="3" t="n">
        <v>0.01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/>
      <c r="U27" s="3" t="n">
        <v>0.11</v>
      </c>
      <c r="V27" s="3" t="n">
        <v>0.09</v>
      </c>
      <c r="W27" s="2" t="str">
        <f aca="false">INDEX($H$1:$T$1,MATCH(MAX(H27:T27),H27:T27,0))</f>
        <v>Lula (PT)</v>
      </c>
      <c r="X27" s="4" t="n">
        <f aca="false">(LARGE(H27:T27,1)-LARGE(H27:T27,2))*100</f>
        <v>34</v>
      </c>
      <c r="Y27" s="3" t="n">
        <f aca="false">SUM(H27:V27)</f>
        <v>1</v>
      </c>
      <c r="Z27" s="2" t="s">
        <v>33</v>
      </c>
    </row>
    <row r="28" customFormat="false" ht="15" hidden="false" customHeight="false" outlineLevel="0" collapsed="false">
      <c r="A28" s="2" t="s">
        <v>107</v>
      </c>
      <c r="B28" s="2" t="s">
        <v>108</v>
      </c>
      <c r="C28" s="2" t="s">
        <v>28</v>
      </c>
      <c r="D28" s="2" t="s">
        <v>29</v>
      </c>
      <c r="E28" s="2" t="s">
        <v>37</v>
      </c>
      <c r="F28" s="2" t="s">
        <v>38</v>
      </c>
      <c r="G28" s="2" t="s">
        <v>32</v>
      </c>
      <c r="H28" s="3" t="n">
        <v>0.37</v>
      </c>
      <c r="I28" s="3" t="n">
        <v>0.32</v>
      </c>
      <c r="J28" s="3" t="n">
        <v>0.07</v>
      </c>
      <c r="K28" s="3" t="n">
        <v>0.01</v>
      </c>
      <c r="L28" s="3" t="n">
        <v>0.03</v>
      </c>
      <c r="M28" s="3" t="n">
        <v>0.02</v>
      </c>
      <c r="N28" s="3" t="n">
        <v>0.01</v>
      </c>
      <c r="O28" s="3"/>
      <c r="P28" s="3" t="n">
        <v>0.01</v>
      </c>
      <c r="Q28" s="3" t="n">
        <v>0.01</v>
      </c>
      <c r="R28" s="3"/>
      <c r="S28" s="3"/>
      <c r="T28" s="3"/>
      <c r="U28" s="3" t="n">
        <v>0.1</v>
      </c>
      <c r="V28" s="3" t="n">
        <v>0.05</v>
      </c>
      <c r="W28" s="2" t="str">
        <f aca="false">INDEX($H$1:$T$1,MATCH(MAX(H28:T28),H28:T28,0))</f>
        <v>Lula (PT)</v>
      </c>
      <c r="X28" s="4" t="n">
        <f aca="false">(LARGE(H28:T28,1)-LARGE(H28:T28,2))*100</f>
        <v>5</v>
      </c>
      <c r="Y28" s="3" t="n">
        <f aca="false">SUM(H28:V28)</f>
        <v>1</v>
      </c>
      <c r="Z28" s="2" t="s">
        <v>39</v>
      </c>
    </row>
    <row r="30" customFormat="false" ht="15" hidden="false" customHeight="false" outlineLevel="0" collapsed="false">
      <c r="A30" s="5" t="s">
        <v>109</v>
      </c>
    </row>
    <row r="31" customFormat="false" ht="15" hidden="false" customHeight="false" outlineLevel="0" collapsed="false">
      <c r="A31" s="6" t="s">
        <v>110</v>
      </c>
    </row>
    <row r="32" customFormat="false" ht="15" hidden="false" customHeight="false" outlineLevel="0" collapsed="false">
      <c r="A32" s="6" t="s">
        <v>111</v>
      </c>
    </row>
    <row r="33" customFormat="false" ht="15" hidden="false" customHeight="false" outlineLevel="0" collapsed="false">
      <c r="A33" s="6" t="s">
        <v>112</v>
      </c>
    </row>
    <row r="34" customFormat="false" ht="15" hidden="false" customHeight="false" outlineLevel="0" collapsed="false">
      <c r="A34" s="6" t="s">
        <v>113</v>
      </c>
    </row>
    <row r="35" customFormat="false" ht="15" hidden="false" customHeight="false" outlineLevel="0" collapsed="false">
      <c r="A35" s="6" t="s">
        <v>114</v>
      </c>
    </row>
  </sheetData>
  <autoFilter ref="A1:Z28"/>
  <conditionalFormatting sqref="H2:T28">
    <cfRule type="expression" priority="2" aboveAverage="0" equalAverage="0" bottom="0" percent="0" rank="0" text="" dxfId="4">
      <formula>AND(H2&lt;&gt;"",H2=MAX($H2:$T2))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62"/>
    <col collapsed="false" customWidth="true" hidden="false" outlineLevel="0" max="8" min="8" style="0" width="70"/>
    <col collapsed="false" customWidth="true" hidden="false" outlineLevel="0" max="10" min="9" style="0" width="16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7</v>
      </c>
      <c r="D1" s="1" t="s">
        <v>8</v>
      </c>
      <c r="E1" s="1" t="s">
        <v>115</v>
      </c>
      <c r="F1" s="1" t="s">
        <v>22</v>
      </c>
      <c r="G1" s="1" t="s">
        <v>116</v>
      </c>
      <c r="H1" s="1" t="s">
        <v>117</v>
      </c>
      <c r="I1" s="1" t="s">
        <v>118</v>
      </c>
      <c r="J1" s="1" t="s">
        <v>119</v>
      </c>
    </row>
    <row r="2" customFormat="false" ht="15" hidden="false" customHeight="false" outlineLevel="0" collapsed="false">
      <c r="A2" s="2" t="s">
        <v>26</v>
      </c>
      <c r="B2" s="2" t="s">
        <v>27</v>
      </c>
      <c r="C2" s="3" t="n">
        <v>0.24</v>
      </c>
      <c r="D2" s="3" t="n">
        <v>0.5</v>
      </c>
      <c r="E2" s="7" t="n">
        <f aca="false">(C2-D2)*100</f>
        <v>-26</v>
      </c>
      <c r="F2" s="8" t="str">
        <f aca="false">IF(C2&gt;D2,"Lula",IF(D2&gt;C2,"Flávio","Tie"))</f>
        <v>Flávio</v>
      </c>
      <c r="G2" s="2" t="s">
        <v>120</v>
      </c>
      <c r="H2" s="2" t="s">
        <v>121</v>
      </c>
      <c r="I2" s="7" t="n">
        <f aca="false">(C2-INDEX('1st Round by State'!$H$2:$H$28,MATCH(A2,'1st Round by State'!$A$2:$A$28,0)))*100</f>
        <v>-1</v>
      </c>
      <c r="J2" s="7" t="n">
        <f aca="false">(D2-INDEX('1st Round by State'!$I$2:$I$28,MATCH(A2,'1st Round by State'!$A$2:$A$28,0)))*100</f>
        <v>8</v>
      </c>
    </row>
    <row r="3" customFormat="false" ht="15" hidden="false" customHeight="false" outlineLevel="0" collapsed="false">
      <c r="A3" s="2" t="s">
        <v>34</v>
      </c>
      <c r="B3" s="2" t="s">
        <v>35</v>
      </c>
      <c r="C3" s="3" t="n">
        <v>0.45</v>
      </c>
      <c r="D3" s="3" t="n">
        <v>0.3</v>
      </c>
      <c r="E3" s="7" t="n">
        <f aca="false">(C3-D3)*100</f>
        <v>15</v>
      </c>
      <c r="F3" s="8" t="str">
        <f aca="false">IF(C3&gt;D3,"Lula",IF(D3&gt;C3,"Flávio","Tie"))</f>
        <v>Lula</v>
      </c>
      <c r="G3" s="2" t="s">
        <v>120</v>
      </c>
      <c r="H3" s="2" t="s">
        <v>121</v>
      </c>
      <c r="I3" s="7" t="n">
        <f aca="false">(C3-INDEX('1st Round by State'!$H$2:$H$28,MATCH(A3,'1st Round by State'!$A$2:$A$28,0)))*100</f>
        <v>1</v>
      </c>
      <c r="J3" s="7" t="n">
        <f aca="false">(D3-INDEX('1st Round by State'!$I$2:$I$28,MATCH(A3,'1st Round by State'!$A$2:$A$28,0)))*100</f>
        <v>1</v>
      </c>
    </row>
    <row r="4" customFormat="false" ht="15" hidden="false" customHeight="false" outlineLevel="0" collapsed="false">
      <c r="A4" s="2" t="s">
        <v>40</v>
      </c>
      <c r="B4" s="2" t="s">
        <v>41</v>
      </c>
      <c r="C4" s="3" t="n">
        <v>0.32</v>
      </c>
      <c r="D4" s="3" t="n">
        <v>0.36</v>
      </c>
      <c r="E4" s="7" t="n">
        <f aca="false">(C4-D4)*100</f>
        <v>-4</v>
      </c>
      <c r="F4" s="8" t="str">
        <f aca="false">IF(C4&gt;D4,"Lula",IF(D4&gt;C4,"Flávio","Tie"))</f>
        <v>Flávio</v>
      </c>
      <c r="G4" s="2" t="s">
        <v>120</v>
      </c>
      <c r="H4" s="2" t="s">
        <v>121</v>
      </c>
      <c r="I4" s="7" t="n">
        <f aca="false">(C4-INDEX('1st Round by State'!$H$2:$H$28,MATCH(A4,'1st Round by State'!$A$2:$A$28,0)))*100</f>
        <v>-4</v>
      </c>
      <c r="J4" s="7" t="n">
        <f aca="false">(D4-INDEX('1st Round by State'!$I$2:$I$28,MATCH(A4,'1st Round by State'!$A$2:$A$28,0)))*100</f>
        <v>3</v>
      </c>
    </row>
    <row r="5" customFormat="false" ht="15" hidden="false" customHeight="false" outlineLevel="0" collapsed="false">
      <c r="A5" s="2" t="s">
        <v>42</v>
      </c>
      <c r="B5" s="2" t="s">
        <v>43</v>
      </c>
      <c r="C5" s="3" t="n">
        <v>0.35</v>
      </c>
      <c r="D5" s="3" t="n">
        <v>0.38</v>
      </c>
      <c r="E5" s="7" t="n">
        <f aca="false">(C5-D5)*100</f>
        <v>-3</v>
      </c>
      <c r="F5" s="8" t="str">
        <f aca="false">IF(C5&gt;D5,"Lula",IF(D5&gt;C5,"Flávio","Tie"))</f>
        <v>Flávio</v>
      </c>
      <c r="G5" s="2" t="s">
        <v>120</v>
      </c>
      <c r="H5" s="2" t="s">
        <v>121</v>
      </c>
      <c r="I5" s="7" t="n">
        <f aca="false">(C5-INDEX('1st Round by State'!$H$2:$H$28,MATCH(A5,'1st Round by State'!$A$2:$A$28,0)))*100</f>
        <v>-3</v>
      </c>
      <c r="J5" s="7" t="n">
        <f aca="false">(D5-INDEX('1st Round by State'!$I$2:$I$28,MATCH(A5,'1st Round by State'!$A$2:$A$28,0)))*100</f>
        <v>5</v>
      </c>
    </row>
    <row r="6" customFormat="false" ht="15" hidden="false" customHeight="false" outlineLevel="0" collapsed="false">
      <c r="A6" s="2" t="s">
        <v>44</v>
      </c>
      <c r="B6" s="2" t="s">
        <v>45</v>
      </c>
      <c r="C6" s="3" t="n">
        <v>0.58</v>
      </c>
      <c r="D6" s="3" t="n">
        <v>0.23</v>
      </c>
      <c r="E6" s="7" t="n">
        <f aca="false">(C6-D6)*100</f>
        <v>35</v>
      </c>
      <c r="F6" s="8" t="str">
        <f aca="false">IF(C6&gt;D6,"Lula",IF(D6&gt;C6,"Flávio","Tie"))</f>
        <v>Lula</v>
      </c>
      <c r="G6" s="2" t="s">
        <v>120</v>
      </c>
      <c r="H6" s="2" t="s">
        <v>121</v>
      </c>
      <c r="I6" s="7" t="n">
        <f aca="false">(C6-INDEX('1st Round by State'!$H$2:$H$28,MATCH(A6,'1st Round by State'!$A$2:$A$28,0)))*100</f>
        <v>8</v>
      </c>
      <c r="J6" s="7" t="n">
        <f aca="false">(D6-INDEX('1st Round by State'!$I$2:$I$28,MATCH(A6,'1st Round by State'!$A$2:$A$28,0)))*100</f>
        <v>6</v>
      </c>
    </row>
    <row r="7" customFormat="false" ht="15" hidden="false" customHeight="false" outlineLevel="0" collapsed="false">
      <c r="A7" s="2" t="s">
        <v>47</v>
      </c>
      <c r="B7" s="2" t="s">
        <v>48</v>
      </c>
      <c r="C7" s="3" t="n">
        <v>0.55</v>
      </c>
      <c r="D7" s="3" t="n">
        <v>0.23</v>
      </c>
      <c r="E7" s="7" t="n">
        <f aca="false">(C7-D7)*100</f>
        <v>32</v>
      </c>
      <c r="F7" s="8" t="str">
        <f aca="false">IF(C7&gt;D7,"Lula",IF(D7&gt;C7,"Flávio","Tie"))</f>
        <v>Lula</v>
      </c>
      <c r="G7" s="2" t="s">
        <v>120</v>
      </c>
      <c r="H7" s="2" t="s">
        <v>121</v>
      </c>
      <c r="I7" s="7" t="n">
        <f aca="false">(C7-INDEX('1st Round by State'!$H$2:$H$28,MATCH(A7,'1st Round by State'!$A$2:$A$28,0)))*100</f>
        <v>0</v>
      </c>
      <c r="J7" s="7" t="n">
        <f aca="false">(D7-INDEX('1st Round by State'!$I$2:$I$28,MATCH(A7,'1st Round by State'!$A$2:$A$28,0)))*100</f>
        <v>0</v>
      </c>
    </row>
    <row r="8" customFormat="false" ht="15" hidden="false" customHeight="false" outlineLevel="0" collapsed="false">
      <c r="A8" s="2" t="s">
        <v>52</v>
      </c>
      <c r="B8" s="2" t="s">
        <v>53</v>
      </c>
      <c r="C8" s="3" t="n">
        <v>0.32</v>
      </c>
      <c r="D8" s="3" t="n">
        <v>0.38</v>
      </c>
      <c r="E8" s="7" t="n">
        <f aca="false">(C8-D8)*100</f>
        <v>-6</v>
      </c>
      <c r="F8" s="8" t="str">
        <f aca="false">IF(C8&gt;D8,"Lula",IF(D8&gt;C8,"Flávio","Tie"))</f>
        <v>Flávio</v>
      </c>
      <c r="G8" s="2" t="s">
        <v>120</v>
      </c>
      <c r="H8" s="2" t="s">
        <v>121</v>
      </c>
      <c r="I8" s="7" t="n">
        <f aca="false">(C8-INDEX('1st Round by State'!$H$2:$H$28,MATCH(A8,'1st Round by State'!$A$2:$A$28,0)))*100</f>
        <v>4</v>
      </c>
      <c r="J8" s="7" t="n">
        <f aca="false">(D8-INDEX('1st Round by State'!$I$2:$I$28,MATCH(A8,'1st Round by State'!$A$2:$A$28,0)))*100</f>
        <v>12</v>
      </c>
    </row>
    <row r="9" customFormat="false" ht="15" hidden="false" customHeight="false" outlineLevel="0" collapsed="false">
      <c r="A9" s="2" t="s">
        <v>55</v>
      </c>
      <c r="B9" s="2" t="s">
        <v>56</v>
      </c>
      <c r="C9" s="3" t="n">
        <v>0.29</v>
      </c>
      <c r="D9" s="3" t="n">
        <v>0.34</v>
      </c>
      <c r="E9" s="7" t="n">
        <f aca="false">(C9-D9)*100</f>
        <v>-5</v>
      </c>
      <c r="F9" s="8" t="str">
        <f aca="false">IF(C9&gt;D9,"Lula",IF(D9&gt;C9,"Flávio","Tie"))</f>
        <v>Flávio</v>
      </c>
      <c r="G9" s="2" t="s">
        <v>120</v>
      </c>
      <c r="H9" s="2" t="s">
        <v>121</v>
      </c>
      <c r="I9" s="7" t="n">
        <f aca="false">(C9-INDEX('1st Round by State'!$H$2:$H$28,MATCH(A9,'1st Round by State'!$A$2:$A$28,0)))*100</f>
        <v>-1</v>
      </c>
      <c r="J9" s="7" t="n">
        <f aca="false">(D9-INDEX('1st Round by State'!$I$2:$I$28,MATCH(A9,'1st Round by State'!$A$2:$A$28,0)))*100</f>
        <v>-3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3" t="n">
        <v>0.27</v>
      </c>
      <c r="D10" s="3" t="n">
        <v>0.33</v>
      </c>
      <c r="E10" s="7" t="n">
        <f aca="false">(C10-D10)*100</f>
        <v>-6</v>
      </c>
      <c r="F10" s="8" t="str">
        <f aca="false">IF(C10&gt;D10,"Lula",IF(D10&gt;C10,"Flávio","Tie"))</f>
        <v>Flávio</v>
      </c>
      <c r="G10" s="2" t="s">
        <v>120</v>
      </c>
      <c r="H10" s="2" t="s">
        <v>121</v>
      </c>
      <c r="I10" s="7" t="n">
        <f aca="false">(C10-INDEX('1st Round by State'!$H$2:$H$28,MATCH(A10,'1st Round by State'!$A$2:$A$28,0)))*100</f>
        <v>7</v>
      </c>
      <c r="J10" s="7" t="n">
        <f aca="false">(D10-INDEX('1st Round by State'!$I$2:$I$28,MATCH(A10,'1st Round by State'!$A$2:$A$28,0)))*100</f>
        <v>6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3" t="n">
        <v>0.59</v>
      </c>
      <c r="D11" s="3" t="n">
        <v>0.22</v>
      </c>
      <c r="E11" s="7" t="n">
        <f aca="false">(C11-D11)*100</f>
        <v>37</v>
      </c>
      <c r="F11" s="8" t="str">
        <f aca="false">IF(C11&gt;D11,"Lula",IF(D11&gt;C11,"Flávio","Tie"))</f>
        <v>Lula</v>
      </c>
      <c r="G11" s="2" t="s">
        <v>120</v>
      </c>
      <c r="H11" s="2" t="s">
        <v>121</v>
      </c>
      <c r="I11" s="7" t="n">
        <f aca="false">(C11-INDEX('1st Round by State'!$H$2:$H$28,MATCH(A11,'1st Round by State'!$A$2:$A$28,0)))*100</f>
        <v>1</v>
      </c>
      <c r="J11" s="7" t="n">
        <f aca="false">(D11-INDEX('1st Round by State'!$I$2:$I$28,MATCH(A11,'1st Round by State'!$A$2:$A$28,0)))*100</f>
        <v>2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3" t="n">
        <v>0.26</v>
      </c>
      <c r="D12" s="3" t="n">
        <v>0.41</v>
      </c>
      <c r="E12" s="7" t="n">
        <f aca="false">(C12-D12)*100</f>
        <v>-15</v>
      </c>
      <c r="F12" s="8" t="str">
        <f aca="false">IF(C12&gt;D12,"Lula",IF(D12&gt;C12,"Flávio","Tie"))</f>
        <v>Flávio</v>
      </c>
      <c r="G12" s="2" t="s">
        <v>120</v>
      </c>
      <c r="H12" s="2" t="s">
        <v>121</v>
      </c>
      <c r="I12" s="7" t="n">
        <f aca="false">(C12-INDEX('1st Round by State'!$H$2:$H$28,MATCH(A12,'1st Round by State'!$A$2:$A$28,0)))*100</f>
        <v>0</v>
      </c>
      <c r="J12" s="7" t="n">
        <f aca="false">(D12-INDEX('1st Round by State'!$I$2:$I$28,MATCH(A12,'1st Round by State'!$A$2:$A$28,0)))*100</f>
        <v>-2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3" t="n">
        <v>0.27</v>
      </c>
      <c r="D13" s="3" t="n">
        <v>0.35</v>
      </c>
      <c r="E13" s="7" t="n">
        <f aca="false">(C13-D13)*100</f>
        <v>-8</v>
      </c>
      <c r="F13" s="8" t="str">
        <f aca="false">IF(C13&gt;D13,"Lula",IF(D13&gt;C13,"Flávio","Tie"))</f>
        <v>Flávio</v>
      </c>
      <c r="G13" s="2" t="s">
        <v>120</v>
      </c>
      <c r="H13" s="2" t="s">
        <v>121</v>
      </c>
      <c r="I13" s="7" t="n">
        <f aca="false">(C13-INDEX('1st Round by State'!$H$2:$H$28,MATCH(A13,'1st Round by State'!$A$2:$A$28,0)))*100</f>
        <v>0</v>
      </c>
      <c r="J13" s="7" t="n">
        <f aca="false">(D13-INDEX('1st Round by State'!$I$2:$I$28,MATCH(A13,'1st Round by State'!$A$2:$A$28,0)))*100</f>
        <v>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3" t="n">
        <v>0.35</v>
      </c>
      <c r="D14" s="3" t="n">
        <v>0.31</v>
      </c>
      <c r="E14" s="7" t="n">
        <f aca="false">(C14-D14)*100</f>
        <v>4</v>
      </c>
      <c r="F14" s="8" t="str">
        <f aca="false">IF(C14&gt;D14,"Lula",IF(D14&gt;C14,"Flávio","Tie"))</f>
        <v>Lula</v>
      </c>
      <c r="G14" s="2" t="s">
        <v>120</v>
      </c>
      <c r="H14" s="2" t="s">
        <v>121</v>
      </c>
      <c r="I14" s="7" t="n">
        <f aca="false">(C14-INDEX('1st Round by State'!$H$2:$H$28,MATCH(A14,'1st Round by State'!$A$2:$A$28,0)))*100</f>
        <v>5</v>
      </c>
      <c r="J14" s="7" t="n">
        <f aca="false">(D14-INDEX('1st Round by State'!$I$2:$I$28,MATCH(A14,'1st Round by State'!$A$2:$A$28,0)))*100</f>
        <v>0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3" t="n">
        <v>0.4</v>
      </c>
      <c r="D15" s="3" t="n">
        <v>0.35</v>
      </c>
      <c r="E15" s="7" t="n">
        <f aca="false">(C15-D15)*100</f>
        <v>5</v>
      </c>
      <c r="F15" s="8" t="str">
        <f aca="false">IF(C15&gt;D15,"Lula",IF(D15&gt;C15,"Flávio","Tie"))</f>
        <v>Lula</v>
      </c>
      <c r="G15" s="2" t="s">
        <v>120</v>
      </c>
      <c r="H15" s="2" t="s">
        <v>121</v>
      </c>
      <c r="I15" s="7" t="n">
        <f aca="false">(C15-INDEX('1st Round by State'!$H$2:$H$28,MATCH(A15,'1st Round by State'!$A$2:$A$28,0)))*100</f>
        <v>0</v>
      </c>
      <c r="J15" s="7" t="n">
        <f aca="false">(D15-INDEX('1st Round by State'!$I$2:$I$28,MATCH(A15,'1st Round by State'!$A$2:$A$28,0)))*100</f>
        <v>0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3" t="n">
        <v>0.54</v>
      </c>
      <c r="D16" s="3" t="n">
        <v>0.23</v>
      </c>
      <c r="E16" s="7" t="n">
        <f aca="false">(C16-D16)*100</f>
        <v>31</v>
      </c>
      <c r="F16" s="8" t="str">
        <f aca="false">IF(C16&gt;D16,"Lula",IF(D16&gt;C16,"Flávio","Tie"))</f>
        <v>Lula</v>
      </c>
      <c r="G16" s="2" t="s">
        <v>120</v>
      </c>
      <c r="H16" s="2" t="s">
        <v>121</v>
      </c>
      <c r="I16" s="7" t="n">
        <f aca="false">(C16-INDEX('1st Round by State'!$H$2:$H$28,MATCH(A16,'1st Round by State'!$A$2:$A$28,0)))*100</f>
        <v>4</v>
      </c>
      <c r="J16" s="7" t="n">
        <f aca="false">(D16-INDEX('1st Round by State'!$I$2:$I$28,MATCH(A16,'1st Round by State'!$A$2:$A$28,0)))*100</f>
        <v>2</v>
      </c>
    </row>
    <row r="17" customFormat="false" ht="15" hidden="false" customHeight="false" outlineLevel="0" collapsed="false">
      <c r="A17" s="2" t="s">
        <v>74</v>
      </c>
      <c r="B17" s="2" t="s">
        <v>75</v>
      </c>
      <c r="C17" s="3" t="n">
        <v>0.24</v>
      </c>
      <c r="D17" s="3" t="n">
        <v>0.42</v>
      </c>
      <c r="E17" s="7" t="n">
        <f aca="false">(C17-D17)*100</f>
        <v>-18</v>
      </c>
      <c r="F17" s="8" t="str">
        <f aca="false">IF(C17&gt;D17,"Lula",IF(D17&gt;C17,"Flávio","Tie"))</f>
        <v>Flávio</v>
      </c>
      <c r="G17" s="2" t="s">
        <v>120</v>
      </c>
      <c r="H17" s="2" t="s">
        <v>121</v>
      </c>
      <c r="I17" s="7" t="n">
        <f aca="false">(C17-INDEX('1st Round by State'!$H$2:$H$28,MATCH(A17,'1st Round by State'!$A$2:$A$28,0)))*100</f>
        <v>0.999999999999998</v>
      </c>
      <c r="J17" s="7" t="n">
        <f aca="false">(D17-INDEX('1st Round by State'!$I$2:$I$28,MATCH(A17,'1st Round by State'!$A$2:$A$28,0)))*100</f>
        <v>1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3" t="n">
        <v>0.58</v>
      </c>
      <c r="D18" s="3" t="n">
        <v>0.2</v>
      </c>
      <c r="E18" s="7" t="n">
        <f aca="false">(C18-D18)*100</f>
        <v>38</v>
      </c>
      <c r="F18" s="8" t="str">
        <f aca="false">IF(C18&gt;D18,"Lula",IF(D18&gt;C18,"Flávio","Tie"))</f>
        <v>Lula</v>
      </c>
      <c r="G18" s="2" t="s">
        <v>120</v>
      </c>
      <c r="H18" s="2" t="s">
        <v>121</v>
      </c>
      <c r="I18" s="7" t="n">
        <f aca="false">(C18-INDEX('1st Round by State'!$H$2:$H$28,MATCH(A18,'1st Round by State'!$A$2:$A$28,0)))*100</f>
        <v>0</v>
      </c>
      <c r="J18" s="7" t="n">
        <f aca="false">(D18-INDEX('1st Round by State'!$I$2:$I$28,MATCH(A18,'1st Round by State'!$A$2:$A$28,0)))*100</f>
        <v>0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3" t="n">
        <v>0.685</v>
      </c>
      <c r="D19" s="3" t="n">
        <v>0.246</v>
      </c>
      <c r="E19" s="7" t="n">
        <f aca="false">(C19-D19)*100</f>
        <v>43.9</v>
      </c>
      <c r="F19" s="8" t="str">
        <f aca="false">IF(C19&gt;D19,"Lula",IF(D19&gt;C19,"Flávio","Tie"))</f>
        <v>Lula</v>
      </c>
      <c r="G19" s="2" t="s">
        <v>122</v>
      </c>
      <c r="H19" s="2" t="s">
        <v>123</v>
      </c>
      <c r="I19" s="7" t="n">
        <f aca="false">(C19-INDEX('1st Round by State'!$H$2:$H$28,MATCH(A19,'1st Round by State'!$A$2:$A$28,0)))*100</f>
        <v>0</v>
      </c>
      <c r="J19" s="7" t="n">
        <f aca="false">(D19-INDEX('1st Round by State'!$I$2:$I$28,MATCH(A19,'1st Round by State'!$A$2:$A$28,0)))*100</f>
        <v>0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3" t="n">
        <v>0.31</v>
      </c>
      <c r="D20" s="3" t="n">
        <v>0.38</v>
      </c>
      <c r="E20" s="7" t="n">
        <f aca="false">(C20-D20)*100</f>
        <v>-7</v>
      </c>
      <c r="F20" s="8" t="str">
        <f aca="false">IF(C20&gt;D20,"Lula",IF(D20&gt;C20,"Flávio","Tie"))</f>
        <v>Flávio</v>
      </c>
      <c r="G20" s="2" t="s">
        <v>120</v>
      </c>
      <c r="H20" s="2" t="s">
        <v>121</v>
      </c>
      <c r="I20" s="7" t="n">
        <f aca="false">(C20-INDEX('1st Round by State'!$H$2:$H$28,MATCH(A20,'1st Round by State'!$A$2:$A$28,0)))*100</f>
        <v>2</v>
      </c>
      <c r="J20" s="7" t="n">
        <f aca="false">(D20-INDEX('1st Round by State'!$I$2:$I$28,MATCH(A20,'1st Round by State'!$A$2:$A$28,0)))*100</f>
        <v>7</v>
      </c>
    </row>
    <row r="21" customFormat="false" ht="15" hidden="false" customHeight="false" outlineLevel="0" collapsed="false">
      <c r="A21" s="2" t="s">
        <v>91</v>
      </c>
      <c r="B21" s="2" t="s">
        <v>92</v>
      </c>
      <c r="C21" s="3" t="n">
        <v>0.52</v>
      </c>
      <c r="D21" s="3" t="n">
        <v>0.25</v>
      </c>
      <c r="E21" s="7" t="n">
        <f aca="false">(C21-D21)*100</f>
        <v>27</v>
      </c>
      <c r="F21" s="8" t="str">
        <f aca="false">IF(C21&gt;D21,"Lula",IF(D21&gt;C21,"Flávio","Tie"))</f>
        <v>Lula</v>
      </c>
      <c r="G21" s="2" t="s">
        <v>120</v>
      </c>
      <c r="H21" s="2" t="s">
        <v>121</v>
      </c>
      <c r="I21" s="7" t="n">
        <f aca="false">(C21-INDEX('1st Round by State'!$H$2:$H$28,MATCH(A21,'1st Round by State'!$A$2:$A$28,0)))*100</f>
        <v>-2</v>
      </c>
      <c r="J21" s="7" t="n">
        <f aca="false">(D21-INDEX('1st Round by State'!$I$2:$I$28,MATCH(A21,'1st Round by State'!$A$2:$A$28,0)))*100</f>
        <v>5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3" t="n">
        <v>0.29</v>
      </c>
      <c r="D22" s="3" t="n">
        <v>0.34</v>
      </c>
      <c r="E22" s="7" t="n">
        <f aca="false">(C22-D22)*100</f>
        <v>-5</v>
      </c>
      <c r="F22" s="8" t="str">
        <f aca="false">IF(C22&gt;D22,"Lula",IF(D22&gt;C22,"Flávio","Tie"))</f>
        <v>Flávio</v>
      </c>
      <c r="G22" s="2" t="s">
        <v>120</v>
      </c>
      <c r="H22" s="2" t="s">
        <v>121</v>
      </c>
      <c r="I22" s="7" t="n">
        <f aca="false">(C22-INDEX('1st Round by State'!$H$2:$H$28,MATCH(A22,'1st Round by State'!$A$2:$A$28,0)))*100</f>
        <v>0.999999999999995</v>
      </c>
      <c r="J22" s="7" t="n">
        <f aca="false">(D22-INDEX('1st Round by State'!$I$2:$I$28,MATCH(A22,'1st Round by State'!$A$2:$A$28,0)))*100</f>
        <v>0</v>
      </c>
    </row>
    <row r="23" customFormat="false" ht="15" hidden="false" customHeight="false" outlineLevel="0" collapsed="false">
      <c r="A23" s="2" t="s">
        <v>95</v>
      </c>
      <c r="B23" s="2" t="s">
        <v>96</v>
      </c>
      <c r="C23" s="3" t="n">
        <v>0.25</v>
      </c>
      <c r="D23" s="3" t="n">
        <v>0.46</v>
      </c>
      <c r="E23" s="7" t="n">
        <f aca="false">(C23-D23)*100</f>
        <v>-21</v>
      </c>
      <c r="F23" s="8" t="str">
        <f aca="false">IF(C23&gt;D23,"Lula",IF(D23&gt;C23,"Flávio","Tie"))</f>
        <v>Flávio</v>
      </c>
      <c r="G23" s="2" t="s">
        <v>120</v>
      </c>
      <c r="H23" s="2" t="s">
        <v>121</v>
      </c>
      <c r="I23" s="7" t="n">
        <f aca="false">(C23-INDEX('1st Round by State'!$H$2:$H$28,MATCH(A23,'1st Round by State'!$A$2:$A$28,0)))*100</f>
        <v>0</v>
      </c>
      <c r="J23" s="7" t="n">
        <f aca="false">(D23-INDEX('1st Round by State'!$I$2:$I$28,MATCH(A23,'1st Round by State'!$A$2:$A$28,0)))*100</f>
        <v>1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3" t="n">
        <v>0.2</v>
      </c>
      <c r="D24" s="3" t="n">
        <v>0.59</v>
      </c>
      <c r="E24" s="7" t="n">
        <f aca="false">(C24-D24)*100</f>
        <v>-39</v>
      </c>
      <c r="F24" s="8" t="str">
        <f aca="false">IF(C24&gt;D24,"Lula",IF(D24&gt;C24,"Flávio","Tie"))</f>
        <v>Flávio</v>
      </c>
      <c r="G24" s="2" t="s">
        <v>120</v>
      </c>
      <c r="H24" s="2" t="s">
        <v>121</v>
      </c>
      <c r="I24" s="7" t="n">
        <f aca="false">(C24-INDEX('1st Round by State'!$H$2:$H$28,MATCH(A24,'1st Round by State'!$A$2:$A$28,0)))*100</f>
        <v>3</v>
      </c>
      <c r="J24" s="7" t="n">
        <f aca="false">(D24-INDEX('1st Round by State'!$I$2:$I$28,MATCH(A24,'1st Round by State'!$A$2:$A$28,0)))*100</f>
        <v>7</v>
      </c>
    </row>
    <row r="25" customFormat="false" ht="15" hidden="false" customHeight="false" outlineLevel="0" collapsed="false">
      <c r="A25" s="2" t="s">
        <v>99</v>
      </c>
      <c r="B25" s="2" t="s">
        <v>100</v>
      </c>
      <c r="C25" s="3" t="n">
        <v>0.2</v>
      </c>
      <c r="D25" s="3" t="n">
        <v>0.45</v>
      </c>
      <c r="E25" s="7" t="n">
        <f aca="false">(C25-D25)*100</f>
        <v>-25</v>
      </c>
      <c r="F25" s="8" t="str">
        <f aca="false">IF(C25&gt;D25,"Lula",IF(D25&gt;C25,"Flávio","Tie"))</f>
        <v>Flávio</v>
      </c>
      <c r="G25" s="2" t="s">
        <v>120</v>
      </c>
      <c r="H25" s="2" t="s">
        <v>121</v>
      </c>
      <c r="I25" s="7" t="n">
        <f aca="false">(C25-INDEX('1st Round by State'!$H$2:$H$28,MATCH(A25,'1st Round by State'!$A$2:$A$28,0)))*100</f>
        <v>0</v>
      </c>
      <c r="J25" s="7" t="n">
        <f aca="false">(D25-INDEX('1st Round by State'!$I$2:$I$28,MATCH(A25,'1st Round by State'!$A$2:$A$28,0)))*100</f>
        <v>0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3" t="n">
        <v>0.3</v>
      </c>
      <c r="D26" s="3" t="n">
        <v>0.36</v>
      </c>
      <c r="E26" s="7" t="n">
        <f aca="false">(C26-D26)*100</f>
        <v>-6</v>
      </c>
      <c r="F26" s="8" t="str">
        <f aca="false">IF(C26&gt;D26,"Lula",IF(D26&gt;C26,"Flávio","Tie"))</f>
        <v>Flávio</v>
      </c>
      <c r="G26" s="2" t="s">
        <v>120</v>
      </c>
      <c r="H26" s="2" t="s">
        <v>121</v>
      </c>
      <c r="I26" s="7" t="n">
        <f aca="false">(C26-INDEX('1st Round by State'!$H$2:$H$28,MATCH(A26,'1st Round by State'!$A$2:$A$28,0)))*100</f>
        <v>0</v>
      </c>
      <c r="J26" s="7" t="n">
        <f aca="false">(D26-INDEX('1st Round by State'!$I$2:$I$28,MATCH(A26,'1st Round by State'!$A$2:$A$28,0)))*100</f>
        <v>0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3"/>
      <c r="D27" s="3"/>
      <c r="E27" s="7"/>
      <c r="F27" s="8"/>
      <c r="G27" s="2" t="s">
        <v>124</v>
      </c>
      <c r="H27" s="2" t="s">
        <v>125</v>
      </c>
      <c r="I27" s="7"/>
      <c r="J27" s="7"/>
    </row>
    <row r="28" customFormat="false" ht="15" hidden="false" customHeight="false" outlineLevel="0" collapsed="false">
      <c r="A28" s="2" t="s">
        <v>107</v>
      </c>
      <c r="B28" s="2" t="s">
        <v>108</v>
      </c>
      <c r="C28" s="3"/>
      <c r="D28" s="3"/>
      <c r="E28" s="7"/>
      <c r="F28" s="8"/>
      <c r="G28" s="2" t="s">
        <v>124</v>
      </c>
      <c r="H28" s="2" t="s">
        <v>125</v>
      </c>
      <c r="I28" s="7"/>
      <c r="J28" s="7"/>
    </row>
    <row r="30" customFormat="false" ht="15" hidden="false" customHeight="false" outlineLevel="0" collapsed="false">
      <c r="A30" s="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70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9" t="s">
        <v>127</v>
      </c>
      <c r="B1" s="9" t="s">
        <v>117</v>
      </c>
      <c r="C1" s="9" t="s">
        <v>128</v>
      </c>
      <c r="D1" s="9" t="s">
        <v>129</v>
      </c>
    </row>
    <row r="2" customFormat="false" ht="23.85" hidden="false" customHeight="false" outlineLevel="0" collapsed="false">
      <c r="A2" s="10" t="n">
        <v>1</v>
      </c>
      <c r="B2" s="10" t="s">
        <v>130</v>
      </c>
      <c r="C2" s="10" t="s">
        <v>131</v>
      </c>
      <c r="D2" s="10" t="s">
        <v>39</v>
      </c>
    </row>
    <row r="3" customFormat="false" ht="23.85" hidden="false" customHeight="false" outlineLevel="0" collapsed="false">
      <c r="A3" s="10" t="n">
        <v>2</v>
      </c>
      <c r="B3" s="10" t="s">
        <v>132</v>
      </c>
      <c r="C3" s="10" t="s">
        <v>133</v>
      </c>
      <c r="D3" s="10" t="s">
        <v>33</v>
      </c>
    </row>
    <row r="4" customFormat="false" ht="15" hidden="false" customHeight="false" outlineLevel="0" collapsed="false">
      <c r="A4" s="10" t="n">
        <v>3</v>
      </c>
      <c r="B4" s="10" t="s">
        <v>134</v>
      </c>
      <c r="C4" s="10" t="s">
        <v>135</v>
      </c>
      <c r="D4" s="10" t="s">
        <v>104</v>
      </c>
    </row>
    <row r="5" customFormat="false" ht="23.85" hidden="false" customHeight="false" outlineLevel="0" collapsed="false">
      <c r="A5" s="10" t="n">
        <v>4</v>
      </c>
      <c r="B5" s="10" t="s">
        <v>136</v>
      </c>
      <c r="C5" s="10" t="s">
        <v>135</v>
      </c>
      <c r="D5" s="10" t="s">
        <v>81</v>
      </c>
    </row>
    <row r="6" customFormat="false" ht="35.05" hidden="false" customHeight="false" outlineLevel="0" collapsed="false">
      <c r="A6" s="10" t="n">
        <v>5</v>
      </c>
      <c r="B6" s="10" t="s">
        <v>137</v>
      </c>
      <c r="C6" s="10" t="s">
        <v>138</v>
      </c>
      <c r="D6" s="10" t="s">
        <v>71</v>
      </c>
    </row>
    <row r="7" customFormat="false" ht="35.05" hidden="false" customHeight="false" outlineLevel="0" collapsed="false">
      <c r="A7" s="10" t="n">
        <v>6</v>
      </c>
      <c r="B7" s="10" t="s">
        <v>139</v>
      </c>
      <c r="C7" s="10" t="s">
        <v>140</v>
      </c>
      <c r="D7" s="10" t="s">
        <v>51</v>
      </c>
    </row>
    <row r="8" customFormat="false" ht="23.85" hidden="false" customHeight="false" outlineLevel="0" collapsed="false">
      <c r="A8" s="10" t="n">
        <v>7</v>
      </c>
      <c r="B8" s="10" t="s">
        <v>141</v>
      </c>
      <c r="C8" s="10" t="s">
        <v>142</v>
      </c>
      <c r="D8" s="10" t="s">
        <v>88</v>
      </c>
    </row>
    <row r="9" customFormat="false" ht="15" hidden="false" customHeight="false" outlineLevel="0" collapsed="false">
      <c r="A9" s="10" t="n">
        <v>8</v>
      </c>
      <c r="B9" s="10" t="s">
        <v>143</v>
      </c>
      <c r="C9" s="10" t="s">
        <v>144</v>
      </c>
      <c r="D9" s="10" t="s">
        <v>121</v>
      </c>
    </row>
    <row r="10" customFormat="false" ht="15" hidden="false" customHeight="false" outlineLevel="0" collapsed="false">
      <c r="A10" s="10" t="n">
        <v>9</v>
      </c>
      <c r="B10" s="10" t="s">
        <v>145</v>
      </c>
      <c r="C10" s="10" t="s">
        <v>146</v>
      </c>
      <c r="D10" s="10" t="s">
        <v>147</v>
      </c>
    </row>
    <row r="12" customFormat="false" ht="15" hidden="false" customHeight="false" outlineLevel="0" collapsed="false">
      <c r="A12" s="1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2026-10-02T07:47:18Z</dcterms:created>
  <dc:creator>openpyxl</dc:creator>
  <dc:description/>
  <dc:language>en-US</dc:language>
  <cp:lastModifiedBy/>
  <dcterms:modified xsi:type="dcterms:W3CDTF">2026-10-02T07:47:19Z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